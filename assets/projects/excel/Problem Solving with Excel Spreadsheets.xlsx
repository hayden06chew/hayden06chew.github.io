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yden\OneDrive\Attachments\Excel Projects\"/>
    </mc:Choice>
  </mc:AlternateContent>
  <xr:revisionPtr revIDLastSave="0" documentId="8_{FFDD601F-7966-46BE-B016-A1E4ADB8B681}" xr6:coauthVersionLast="47" xr6:coauthVersionMax="47" xr10:uidLastSave="{00000000-0000-0000-0000-000000000000}"/>
  <bookViews>
    <workbookView xWindow="9518" yWindow="0" windowWidth="9765" windowHeight="11363" firstSheet="3" activeTab="4" xr2:uid="{1E18D177-28FB-43E9-A2AF-4A3772CF17A0}"/>
  </bookViews>
  <sheets>
    <sheet name="Shopping" sheetId="1" r:id="rId1"/>
    <sheet name="Cat or Dog" sheetId="2" r:id="rId2"/>
    <sheet name="Vacation" sheetId="3" r:id="rId3"/>
    <sheet name="Printers" sheetId="4" r:id="rId4"/>
    <sheet name="Car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8" i="5" l="1"/>
  <c r="E28" i="5"/>
  <c r="C28" i="5"/>
  <c r="D26" i="5"/>
  <c r="E26" i="5"/>
  <c r="C26" i="5"/>
  <c r="D24" i="5"/>
  <c r="E24" i="5"/>
  <c r="C24" i="5"/>
  <c r="D22" i="5"/>
  <c r="E22" i="5"/>
  <c r="C22" i="5"/>
  <c r="D18" i="5"/>
  <c r="E18" i="5"/>
  <c r="C18" i="5"/>
  <c r="D16" i="5"/>
  <c r="E16" i="5"/>
  <c r="C16" i="5"/>
  <c r="C2" i="5"/>
  <c r="D2" i="5"/>
  <c r="E2" i="5"/>
  <c r="I19" i="4"/>
  <c r="G19" i="4"/>
  <c r="H17" i="4"/>
  <c r="G17" i="4"/>
  <c r="I14" i="4"/>
  <c r="H14" i="4"/>
  <c r="G14" i="4"/>
  <c r="G11" i="4"/>
  <c r="B11" i="4"/>
  <c r="B14" i="4"/>
  <c r="B17" i="4" s="1"/>
  <c r="B19" i="4" s="1"/>
  <c r="I6" i="4"/>
  <c r="H6" i="4"/>
  <c r="G6" i="4"/>
  <c r="D6" i="4"/>
  <c r="D14" i="4" s="1"/>
  <c r="D17" i="4" s="1"/>
  <c r="D19" i="4" s="1"/>
  <c r="C6" i="4"/>
  <c r="C14" i="4" s="1"/>
  <c r="C17" i="4" s="1"/>
  <c r="C19" i="4" s="1"/>
  <c r="B6" i="4"/>
  <c r="I34" i="3"/>
  <c r="H34" i="3"/>
  <c r="G34" i="3"/>
  <c r="I29" i="3"/>
  <c r="H29" i="3"/>
  <c r="G29" i="3"/>
  <c r="H24" i="3"/>
  <c r="G24" i="3"/>
  <c r="I17" i="3"/>
  <c r="I19" i="3" s="1"/>
  <c r="I36" i="3" s="1"/>
  <c r="H17" i="3"/>
  <c r="H19" i="3" s="1"/>
  <c r="H36" i="3" s="1"/>
  <c r="G17" i="3"/>
  <c r="G19" i="3" s="1"/>
  <c r="G36" i="3" s="1"/>
  <c r="C36" i="3"/>
  <c r="D36" i="3"/>
  <c r="B36" i="3"/>
  <c r="C34" i="3"/>
  <c r="D34" i="3"/>
  <c r="B34" i="3"/>
  <c r="C29" i="3"/>
  <c r="D29" i="3"/>
  <c r="B29" i="3"/>
  <c r="D17" i="3"/>
  <c r="D19" i="3" s="1"/>
  <c r="C17" i="3"/>
  <c r="C19" i="3" s="1"/>
  <c r="B17" i="3"/>
  <c r="B19" i="3" s="1"/>
  <c r="C24" i="3"/>
  <c r="B24" i="3"/>
  <c r="C18" i="2"/>
  <c r="B18" i="2"/>
  <c r="C16" i="2"/>
  <c r="B16" i="2"/>
  <c r="B15" i="2"/>
  <c r="C15" i="2"/>
  <c r="C9" i="2"/>
  <c r="B9" i="2"/>
  <c r="N19" i="1"/>
  <c r="M19" i="1"/>
  <c r="L19" i="1"/>
  <c r="N17" i="1"/>
  <c r="M17" i="1"/>
  <c r="L17" i="1"/>
  <c r="N16" i="1"/>
  <c r="M16" i="1"/>
  <c r="L16" i="1"/>
  <c r="N15" i="1"/>
  <c r="M15" i="1"/>
  <c r="L15" i="1"/>
  <c r="N14" i="1"/>
  <c r="M14" i="1"/>
  <c r="L14" i="1"/>
  <c r="N13" i="1"/>
  <c r="M13" i="1"/>
  <c r="L13" i="1"/>
  <c r="N12" i="1"/>
  <c r="M12" i="1"/>
  <c r="L12" i="1"/>
  <c r="N11" i="1"/>
  <c r="M11" i="1"/>
  <c r="L11" i="1"/>
  <c r="N10" i="1"/>
  <c r="M10" i="1"/>
  <c r="L10" i="1"/>
  <c r="N9" i="1"/>
  <c r="M9" i="1"/>
  <c r="L9" i="1"/>
  <c r="N8" i="1"/>
  <c r="M8" i="1"/>
  <c r="L8" i="1"/>
  <c r="N7" i="1"/>
  <c r="M7" i="1"/>
  <c r="L7" i="1"/>
  <c r="N6" i="1"/>
  <c r="M6" i="1"/>
  <c r="L6" i="1"/>
  <c r="N5" i="1"/>
  <c r="M5" i="1"/>
  <c r="L5" i="1"/>
  <c r="N4" i="1"/>
  <c r="M4" i="1"/>
  <c r="L4" i="1"/>
  <c r="N3" i="1"/>
  <c r="M3" i="1"/>
  <c r="L3" i="1"/>
  <c r="I19" i="1"/>
  <c r="H19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3" i="1"/>
  <c r="H11" i="1"/>
  <c r="H10" i="1"/>
  <c r="H4" i="1"/>
  <c r="H5" i="1"/>
  <c r="H6" i="1"/>
  <c r="H7" i="1"/>
  <c r="H8" i="1"/>
  <c r="H9" i="1"/>
  <c r="H12" i="1"/>
  <c r="H13" i="1"/>
  <c r="H14" i="1"/>
  <c r="H15" i="1"/>
  <c r="H16" i="1"/>
  <c r="H17" i="1"/>
  <c r="H3" i="1"/>
  <c r="G9" i="1"/>
  <c r="G7" i="1"/>
  <c r="G6" i="1"/>
  <c r="G5" i="1"/>
  <c r="G4" i="1"/>
  <c r="G8" i="1"/>
  <c r="G10" i="1"/>
  <c r="G11" i="1"/>
  <c r="G12" i="1"/>
  <c r="G13" i="1"/>
  <c r="G14" i="1"/>
  <c r="G15" i="1"/>
  <c r="G16" i="1"/>
  <c r="G17" i="1"/>
  <c r="G3" i="1"/>
  <c r="G19" i="1" s="1"/>
  <c r="H19" i="4" l="1"/>
  <c r="I17" i="4"/>
</calcChain>
</file>

<file path=xl/sharedStrings.xml><?xml version="1.0" encoding="utf-8"?>
<sst xmlns="http://schemas.openxmlformats.org/spreadsheetml/2006/main" count="182" uniqueCount="109">
  <si>
    <t>WaltMart</t>
  </si>
  <si>
    <t>Dollar Trap</t>
  </si>
  <si>
    <t>Office Repo</t>
  </si>
  <si>
    <t>Ball Point Pen</t>
  </si>
  <si>
    <t>Tl-35 Calculator</t>
  </si>
  <si>
    <t>100 Page Notebook</t>
  </si>
  <si>
    <t>8 oz Glue</t>
  </si>
  <si>
    <t>Clear Tape</t>
  </si>
  <si>
    <t>Eraser</t>
  </si>
  <si>
    <t>10 No. 2 Pencils</t>
  </si>
  <si>
    <t>2 Inch Blinder</t>
  </si>
  <si>
    <t>USB Stick 5GB</t>
  </si>
  <si>
    <t xml:space="preserve">8 Color Markers </t>
  </si>
  <si>
    <t>Stapler</t>
  </si>
  <si>
    <t>Planner Book</t>
  </si>
  <si>
    <t>Protractor</t>
  </si>
  <si>
    <t>Compass</t>
  </si>
  <si>
    <t>Liquid Paper</t>
  </si>
  <si>
    <t>Susan</t>
  </si>
  <si>
    <t>Total</t>
  </si>
  <si>
    <t>Tim</t>
  </si>
  <si>
    <t>Dog</t>
  </si>
  <si>
    <t>Cat</t>
  </si>
  <si>
    <t>Initial</t>
  </si>
  <si>
    <t>Purchase</t>
  </si>
  <si>
    <t>Collar</t>
  </si>
  <si>
    <t>Tag</t>
  </si>
  <si>
    <t>Bowl</t>
  </si>
  <si>
    <t>Leash</t>
  </si>
  <si>
    <t>Initial Total</t>
  </si>
  <si>
    <t>Montly</t>
  </si>
  <si>
    <t>Food</t>
  </si>
  <si>
    <t>Litter</t>
  </si>
  <si>
    <t>Treats</t>
  </si>
  <si>
    <t>Subtotal</t>
  </si>
  <si>
    <t>Monthly Total</t>
  </si>
  <si>
    <t>One Year Costs</t>
  </si>
  <si>
    <t>Cats</t>
  </si>
  <si>
    <t>Chicago Museum</t>
  </si>
  <si>
    <t>Orlando Theme Park</t>
  </si>
  <si>
    <t>Miami Cruise</t>
  </si>
  <si>
    <t>Per Person Expenses</t>
  </si>
  <si>
    <t>Air Fare</t>
  </si>
  <si>
    <t>Natural History</t>
  </si>
  <si>
    <t>Chicago Museum of Art</t>
  </si>
  <si>
    <t>Science Museum</t>
  </si>
  <si>
    <t>Museum of Broadcast History</t>
  </si>
  <si>
    <t>Disneyland</t>
  </si>
  <si>
    <t>Universal Studios</t>
  </si>
  <si>
    <t>Sea World</t>
  </si>
  <si>
    <t>Busch Gardens</t>
  </si>
  <si>
    <t>Cruise</t>
  </si>
  <si>
    <t>Subtotal of Tickets (per person)</t>
  </si>
  <si>
    <t>Number of People in group</t>
  </si>
  <si>
    <t>Total costs of tickets</t>
  </si>
  <si>
    <t>Hotel Expenses</t>
  </si>
  <si>
    <t>Hotel Cost per Night</t>
  </si>
  <si>
    <t>Number of Nights</t>
  </si>
  <si>
    <t>Hotel Total</t>
  </si>
  <si>
    <t>Car Rental</t>
  </si>
  <si>
    <t>Car Rental per Day</t>
  </si>
  <si>
    <t>Number of Days</t>
  </si>
  <si>
    <t xml:space="preserve">Food </t>
  </si>
  <si>
    <t>Food Estimate per Day</t>
  </si>
  <si>
    <t>Car Total</t>
  </si>
  <si>
    <t>Food Total</t>
  </si>
  <si>
    <t xml:space="preserve">Susan's Total </t>
  </si>
  <si>
    <t xml:space="preserve">Tim's Total </t>
  </si>
  <si>
    <t>Epsilon</t>
  </si>
  <si>
    <t>HV</t>
  </si>
  <si>
    <t>Zero</t>
  </si>
  <si>
    <t>Purchase Price</t>
  </si>
  <si>
    <t>Cost of Set of Cartridges</t>
  </si>
  <si>
    <t>Pages Cartridge Can Print</t>
  </si>
  <si>
    <t>Cost Per Page</t>
  </si>
  <si>
    <t>Expected Pages PER Day</t>
  </si>
  <si>
    <t>Days in Week</t>
  </si>
  <si>
    <t>Weeks in Year</t>
  </si>
  <si>
    <t>Total Pages in Year</t>
  </si>
  <si>
    <t>Pages per Year</t>
  </si>
  <si>
    <t>Printing Costs per Year</t>
  </si>
  <si>
    <t>Years</t>
  </si>
  <si>
    <t>Total Printing Cost</t>
  </si>
  <si>
    <t>Total Cost</t>
  </si>
  <si>
    <t/>
  </si>
  <si>
    <t>Initial Costs</t>
  </si>
  <si>
    <t>Pruchase Price</t>
  </si>
  <si>
    <t>Taxes</t>
  </si>
  <si>
    <t>Yearly Cost</t>
  </si>
  <si>
    <t>Insurance</t>
  </si>
  <si>
    <t>License</t>
  </si>
  <si>
    <t>Gas</t>
  </si>
  <si>
    <t>Gas Cost Calculation</t>
  </si>
  <si>
    <t>Miles per year driven</t>
  </si>
  <si>
    <t>MPG</t>
  </si>
  <si>
    <t>Price per gal of gas</t>
  </si>
  <si>
    <t>Total Annual Gas Purchases</t>
  </si>
  <si>
    <t>Total Annual Costs (Ins + Lic + Gas)</t>
  </si>
  <si>
    <t>Miles to drive each year</t>
  </si>
  <si>
    <t>Susan's Goal for Maximum Miles</t>
  </si>
  <si>
    <t>Total Life of the Car (Years)</t>
  </si>
  <si>
    <t>Annual Costs X Years of Life</t>
  </si>
  <si>
    <t>Total Lifetime Costs</t>
  </si>
  <si>
    <t>Avg Cost / Year</t>
  </si>
  <si>
    <t xml:space="preserve">Spark </t>
  </si>
  <si>
    <t>Mustang</t>
  </si>
  <si>
    <t xml:space="preserve">Escalade </t>
  </si>
  <si>
    <t>Spark</t>
  </si>
  <si>
    <t>Escalade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</si>
</sst>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M&quot;* #,##0.00_-;\-&quot;RM&quot;* #,##0.00_-;_-&quot;RM&quot;* &quot;-&quot;??_-;_-@_-"/>
    <numFmt numFmtId="165" formatCode="_-[$$-409]* #,##0.00_ ;_-[$$-409]* \-#,##0.00\ ;_-[$$-409]* &quot;-&quot;??_ ;_-@_ 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i/>
      <sz val="11"/>
      <color rgb="FFC0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2">
    <xf numFmtId="0" fontId="0" fillId="0" borderId="0" xfId="0"/>
    <xf numFmtId="165" fontId="0" fillId="0" borderId="0" xfId="0" applyNumberFormat="1"/>
    <xf numFmtId="165" fontId="0" fillId="0" borderId="0" xfId="1" applyNumberFormat="1" applyFont="1"/>
    <xf numFmtId="0" fontId="0" fillId="0" borderId="0" xfId="1" applyNumberFormat="1" applyFont="1"/>
    <xf numFmtId="0" fontId="0" fillId="2" borderId="0" xfId="0" applyFill="1"/>
    <xf numFmtId="0" fontId="0" fillId="3" borderId="0" xfId="0" applyFill="1"/>
    <xf numFmtId="0" fontId="2" fillId="2" borderId="0" xfId="0" applyFont="1" applyFill="1"/>
    <xf numFmtId="0" fontId="2" fillId="3" borderId="0" xfId="0" applyFont="1" applyFill="1"/>
    <xf numFmtId="165" fontId="0" fillId="2" borderId="0" xfId="0" applyNumberFormat="1" applyFill="1"/>
    <xf numFmtId="165" fontId="0" fillId="3" borderId="0" xfId="0" applyNumberFormat="1" applyFill="1"/>
    <xf numFmtId="0" fontId="0" fillId="4" borderId="0" xfId="0" applyFill="1"/>
    <xf numFmtId="0" fontId="0" fillId="5" borderId="0" xfId="0" applyFill="1"/>
    <xf numFmtId="0" fontId="2" fillId="5" borderId="0" xfId="0" applyFont="1" applyFill="1"/>
    <xf numFmtId="165" fontId="0" fillId="3" borderId="0" xfId="1" applyNumberFormat="1" applyFont="1" applyFill="1"/>
    <xf numFmtId="165" fontId="0" fillId="5" borderId="0" xfId="0" applyNumberFormat="1" applyFill="1"/>
    <xf numFmtId="0" fontId="0" fillId="6" borderId="0" xfId="0" applyFill="1"/>
    <xf numFmtId="165" fontId="0" fillId="5" borderId="0" xfId="1" applyNumberFormat="1" applyFont="1" applyFill="1"/>
    <xf numFmtId="0" fontId="0" fillId="5" borderId="0" xfId="0" applyNumberFormat="1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165" fontId="0" fillId="7" borderId="0" xfId="0" applyNumberFormat="1" applyFill="1"/>
    <xf numFmtId="165" fontId="0" fillId="8" borderId="0" xfId="0" applyNumberFormat="1" applyFill="1"/>
    <xf numFmtId="165" fontId="0" fillId="4" borderId="0" xfId="0" applyNumberFormat="1" applyFill="1"/>
    <xf numFmtId="165" fontId="0" fillId="9" borderId="0" xfId="0" applyNumberFormat="1" applyFill="1"/>
    <xf numFmtId="165" fontId="0" fillId="10" borderId="0" xfId="0" applyNumberFormat="1" applyFill="1"/>
    <xf numFmtId="0" fontId="0" fillId="0" borderId="0" xfId="0" quotePrefix="1"/>
    <xf numFmtId="0" fontId="0" fillId="11" borderId="0" xfId="0" applyFill="1"/>
    <xf numFmtId="0" fontId="2" fillId="11" borderId="0" xfId="0" applyFont="1" applyFill="1"/>
    <xf numFmtId="0" fontId="2" fillId="10" borderId="0" xfId="0" applyFont="1" applyFill="1"/>
    <xf numFmtId="0" fontId="0" fillId="12" borderId="0" xfId="0" applyFill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Susan's</a:t>
            </a:r>
            <a:r>
              <a:rPr lang="en-MY" baseline="0"/>
              <a:t> Shopping</a:t>
            </a:r>
            <a:endParaRPr lang="en-MY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Shopping!$G$18:$I$18</c:f>
              <c:strCache>
                <c:ptCount val="3"/>
                <c:pt idx="0">
                  <c:v>WaltMart</c:v>
                </c:pt>
                <c:pt idx="1">
                  <c:v>Dollar Trap</c:v>
                </c:pt>
                <c:pt idx="2">
                  <c:v>Office Repo</c:v>
                </c:pt>
              </c:strCache>
            </c:strRef>
          </c:cat>
          <c:val>
            <c:numRef>
              <c:f>Shopping!$G$19:$I$19</c:f>
              <c:numCache>
                <c:formatCode>_-[$$-409]* #,##0.00_ ;_-[$$-409]* \-#,##0.00\ ;_-[$$-409]* "-"??_ ;_-@_ </c:formatCode>
                <c:ptCount val="3"/>
                <c:pt idx="0">
                  <c:v>82.79</c:v>
                </c:pt>
                <c:pt idx="1">
                  <c:v>87.539999999999992</c:v>
                </c:pt>
                <c:pt idx="2">
                  <c:v>103.28999999999999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01-4BC8-A7A9-6A5679FC98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833919"/>
        <c:axId val="128842079"/>
      </c:barChart>
      <c:catAx>
        <c:axId val="12883391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Stores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42079"/>
        <c:crosses val="autoZero"/>
        <c:auto val="1"/>
        <c:lblAlgn val="ctr"/>
        <c:lblOffset val="100"/>
        <c:noMultiLvlLbl val="0"/>
      </c:catAx>
      <c:valAx>
        <c:axId val="128842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Total</a:t>
                </a:r>
                <a:r>
                  <a:rPr lang="en-MY" baseline="0"/>
                  <a:t> Cost ($)</a:t>
                </a:r>
                <a:endParaRPr lang="en-M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.00_ ;_-[$$-409]* \-#,##0.0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33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Tim's</a:t>
            </a:r>
            <a:r>
              <a:rPr lang="en-US" baseline="0"/>
              <a:t> Shopping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Shopping!$K$19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Shopping!$L$18:$N$18</c:f>
              <c:strCache>
                <c:ptCount val="3"/>
                <c:pt idx="0">
                  <c:v>WaltMart</c:v>
                </c:pt>
                <c:pt idx="1">
                  <c:v>Dollar Trap</c:v>
                </c:pt>
                <c:pt idx="2">
                  <c:v>Office Repo</c:v>
                </c:pt>
              </c:strCache>
            </c:strRef>
          </c:cat>
          <c:val>
            <c:numRef>
              <c:f>Shopping!$L$19:$N$19</c:f>
              <c:numCache>
                <c:formatCode>_-[$$-409]* #,##0.00_ ;_-[$$-409]* \-#,##0.00\ ;_-[$$-409]* "-"??_ ;_-@_ </c:formatCode>
                <c:ptCount val="3"/>
                <c:pt idx="0">
                  <c:v>134.45000000000002</c:v>
                </c:pt>
                <c:pt idx="1">
                  <c:v>112.44999999999999</c:v>
                </c:pt>
                <c:pt idx="2">
                  <c:v>183.29999999999998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52-4157-9562-97FAA1D4C2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7156191"/>
        <c:axId val="357171551"/>
      </c:barChart>
      <c:catAx>
        <c:axId val="3571561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Stores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171551"/>
        <c:crosses val="autoZero"/>
        <c:auto val="1"/>
        <c:lblAlgn val="ctr"/>
        <c:lblOffset val="100"/>
        <c:noMultiLvlLbl val="0"/>
      </c:catAx>
      <c:valAx>
        <c:axId val="3571715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Total</a:t>
                </a:r>
                <a:r>
                  <a:rPr lang="en-MY" baseline="0"/>
                  <a:t> Cost ($)</a:t>
                </a:r>
                <a:endParaRPr lang="en-M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156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MY"/>
              <a:t>Dog</a:t>
            </a:r>
            <a:r>
              <a:rPr lang="en-MY" baseline="0"/>
              <a:t> vs Cat</a:t>
            </a:r>
            <a:endParaRPr lang="en-MY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 or Dog'!$B$17:$C$17</c:f>
              <c:strCache>
                <c:ptCount val="2"/>
                <c:pt idx="0">
                  <c:v>Dog</c:v>
                </c:pt>
                <c:pt idx="1">
                  <c:v>Cats</c:v>
                </c:pt>
              </c:strCache>
            </c:strRef>
          </c:cat>
          <c:val>
            <c:numRef>
              <c:f>'Cat or Dog'!$B$18:$C$18</c:f>
              <c:numCache>
                <c:formatCode>_-[$$-409]* #,##0.00_ ;_-[$$-409]* \-#,##0.00\ ;_-[$$-409]* "-"??_ ;_-@_ </c:formatCode>
                <c:ptCount val="2"/>
                <c:pt idx="0">
                  <c:v>644</c:v>
                </c:pt>
                <c:pt idx="1">
                  <c:v>559.5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2F-4047-9B98-9AE380B3F6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7187391"/>
        <c:axId val="357186431"/>
      </c:barChart>
      <c:catAx>
        <c:axId val="3571873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Pets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186431"/>
        <c:crosses val="autoZero"/>
        <c:auto val="1"/>
        <c:lblAlgn val="ctr"/>
        <c:lblOffset val="100"/>
        <c:noMultiLvlLbl val="0"/>
      </c:catAx>
      <c:valAx>
        <c:axId val="357186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One</a:t>
                </a:r>
                <a:r>
                  <a:rPr lang="en-MY" baseline="0"/>
                  <a:t> Year Cost ($)</a:t>
                </a:r>
                <a:endParaRPr lang="en-M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187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Vacation!$A$36</c:f>
              <c:strCache>
                <c:ptCount val="1"/>
                <c:pt idx="0">
                  <c:v>Susan's Total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Vacation!$B$1:$D$1</c:f>
              <c:strCache>
                <c:ptCount val="3"/>
                <c:pt idx="0">
                  <c:v>Chicago Museum</c:v>
                </c:pt>
                <c:pt idx="1">
                  <c:v>Orlando Theme Park</c:v>
                </c:pt>
                <c:pt idx="2">
                  <c:v>Miami Cruise</c:v>
                </c:pt>
              </c:strCache>
            </c:strRef>
          </c:cat>
          <c:val>
            <c:numRef>
              <c:f>Vacation!$B$36:$D$36</c:f>
              <c:numCache>
                <c:formatCode>_-[$$-409]* #,##0.00_ ;_-[$$-409]* \-#,##0.00\ ;_-[$$-409]* "-"??_ ;_-@_ </c:formatCode>
                <c:ptCount val="3"/>
                <c:pt idx="0">
                  <c:v>1654</c:v>
                </c:pt>
                <c:pt idx="1">
                  <c:v>1653</c:v>
                </c:pt>
                <c:pt idx="2">
                  <c:v>1810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B86-4E7E-9F9C-E611914606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7262063"/>
        <c:axId val="57260143"/>
      </c:barChart>
      <c:catAx>
        <c:axId val="57262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Holiday</a:t>
                </a:r>
                <a:r>
                  <a:rPr lang="en-MY" baseline="0"/>
                  <a:t> Destination</a:t>
                </a:r>
                <a:endParaRPr lang="en-M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60143"/>
        <c:crosses val="autoZero"/>
        <c:auto val="1"/>
        <c:lblAlgn val="ctr"/>
        <c:lblOffset val="100"/>
        <c:noMultiLvlLbl val="0"/>
      </c:catAx>
      <c:valAx>
        <c:axId val="57260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Total</a:t>
                </a:r>
                <a:r>
                  <a:rPr lang="en-MY" baseline="0"/>
                  <a:t> Cost ($)</a:t>
                </a:r>
                <a:endParaRPr lang="en-M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.00_ ;_-[$$-409]* \-#,##0.00\ ;_-[$$-409]* &quot;-&quot;??_ ;_-@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262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Vacation!$F$36</c:f>
              <c:strCache>
                <c:ptCount val="1"/>
                <c:pt idx="0">
                  <c:v>Tim's Total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Vacation!$G$1:$I$1</c:f>
              <c:strCache>
                <c:ptCount val="3"/>
                <c:pt idx="0">
                  <c:v>Chicago Museum</c:v>
                </c:pt>
                <c:pt idx="1">
                  <c:v>Orlando Theme Park</c:v>
                </c:pt>
                <c:pt idx="2">
                  <c:v>Miami Cruise</c:v>
                </c:pt>
              </c:strCache>
            </c:strRef>
          </c:cat>
          <c:val>
            <c:numRef>
              <c:f>Vacation!$G$36:$I$36</c:f>
              <c:numCache>
                <c:formatCode>_-[$$-409]* #,##0.00_ ;_-[$$-409]* \-#,##0.00\ ;_-[$$-409]* "-"??_ ;_-@_ </c:formatCode>
                <c:ptCount val="3"/>
                <c:pt idx="0">
                  <c:v>2348</c:v>
                </c:pt>
                <c:pt idx="1">
                  <c:v>2581</c:v>
                </c:pt>
                <c:pt idx="2">
                  <c:v>3620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D6-4D24-9E17-613132948B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0311455"/>
        <c:axId val="420312895"/>
      </c:barChart>
      <c:catAx>
        <c:axId val="4203114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Holiday</a:t>
                </a:r>
                <a:r>
                  <a:rPr lang="en-MY" baseline="0"/>
                  <a:t> Destination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312895"/>
        <c:crosses val="autoZero"/>
        <c:auto val="1"/>
        <c:lblAlgn val="ctr"/>
        <c:lblOffset val="100"/>
        <c:noMultiLvlLbl val="0"/>
      </c:catAx>
      <c:valAx>
        <c:axId val="420312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Total</a:t>
                </a:r>
                <a:r>
                  <a:rPr lang="en-MY" baseline="0"/>
                  <a:t> Cost ($)</a:t>
                </a:r>
                <a:endParaRPr lang="en-M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0311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Susan's</a:t>
            </a:r>
            <a:r>
              <a:rPr lang="en-US" baseline="0"/>
              <a:t> Printer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Printers!$A$19</c:f>
              <c:strCache>
                <c:ptCount val="1"/>
                <c:pt idx="0">
                  <c:v>Total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Printers!$B$18:$D$18</c:f>
              <c:strCache>
                <c:ptCount val="3"/>
                <c:pt idx="0">
                  <c:v>Epsilon</c:v>
                </c:pt>
                <c:pt idx="1">
                  <c:v>HV</c:v>
                </c:pt>
                <c:pt idx="2">
                  <c:v>Zero</c:v>
                </c:pt>
              </c:strCache>
            </c:strRef>
          </c:cat>
          <c:val>
            <c:numRef>
              <c:f>Printers!$B$19:$D$19</c:f>
              <c:numCache>
                <c:formatCode>_-[$$-409]* #,##0.00_ ;_-[$$-409]* \-#,##0.00\ ;_-[$$-409]* "-"??_ ;_-@_ </c:formatCode>
                <c:ptCount val="3"/>
                <c:pt idx="0">
                  <c:v>1529</c:v>
                </c:pt>
                <c:pt idx="1">
                  <c:v>824</c:v>
                </c:pt>
                <c:pt idx="2">
                  <c:v>801.27272727272725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28C-48A4-BC2A-7D493AAC8C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06669375"/>
        <c:axId val="429565999"/>
      </c:barChart>
      <c:catAx>
        <c:axId val="3066693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Printers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9565999"/>
        <c:crosses val="autoZero"/>
        <c:auto val="1"/>
        <c:lblAlgn val="ctr"/>
        <c:lblOffset val="100"/>
        <c:noMultiLvlLbl val="0"/>
      </c:catAx>
      <c:valAx>
        <c:axId val="42956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Total</a:t>
                </a:r>
                <a:r>
                  <a:rPr lang="en-MY" baseline="0"/>
                  <a:t> Cost ($)</a:t>
                </a:r>
                <a:endParaRPr lang="en-M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6693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Tim's</a:t>
            </a:r>
            <a:r>
              <a:rPr lang="en-US" baseline="0"/>
              <a:t> Printer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Printers!$F$19</c:f>
              <c:strCache>
                <c:ptCount val="1"/>
                <c:pt idx="0">
                  <c:v>Total Cost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Printers!$G$18:$I$18</c:f>
              <c:strCache>
                <c:ptCount val="3"/>
                <c:pt idx="0">
                  <c:v>Epsilon</c:v>
                </c:pt>
                <c:pt idx="1">
                  <c:v>HV</c:v>
                </c:pt>
                <c:pt idx="2">
                  <c:v>Zero</c:v>
                </c:pt>
              </c:strCache>
            </c:strRef>
          </c:cat>
          <c:val>
            <c:numRef>
              <c:f>Printers!$G$19:$I$19</c:f>
              <c:numCache>
                <c:formatCode>_-[$$-409]* #,##0.00_ ;_-[$$-409]* \-#,##0.00\ ;_-[$$-409]* "-"??_ ;_-@_ </c:formatCode>
                <c:ptCount val="3"/>
                <c:pt idx="0">
                  <c:v>50029</c:v>
                </c:pt>
                <c:pt idx="1">
                  <c:v>22649</c:v>
                </c:pt>
                <c:pt idx="2">
                  <c:v>8958.0909090909099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1B5-4259-B17B-2971E0BD9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7167231"/>
        <c:axId val="357161951"/>
      </c:barChart>
      <c:catAx>
        <c:axId val="3571672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Printers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161951"/>
        <c:crosses val="autoZero"/>
        <c:auto val="1"/>
        <c:lblAlgn val="ctr"/>
        <c:lblOffset val="100"/>
        <c:noMultiLvlLbl val="0"/>
      </c:catAx>
      <c:valAx>
        <c:axId val="357161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Total</a:t>
                </a:r>
                <a:r>
                  <a:rPr lang="en-MY" baseline="0"/>
                  <a:t> Cost ($)</a:t>
                </a:r>
                <a:endParaRPr lang="en-M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-[$$-409]* #,##0.00_ ;_-[$$-409]* \-#,##0.00\ ;_-[$$-409]* &quot;-&quot;??_ ;_-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7167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Susan's</a:t>
            </a:r>
            <a:r>
              <a:rPr lang="en-US" baseline="0"/>
              <a:t> Car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Cars!$A$28:$B$28</c:f>
              <c:strCache>
                <c:ptCount val="2"/>
                <c:pt idx="0">
                  <c:v>Avg Cost / Year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Cars!$C$27:$E$27</c:f>
              <c:strCache>
                <c:ptCount val="3"/>
                <c:pt idx="0">
                  <c:v>Spark </c:v>
                </c:pt>
                <c:pt idx="1">
                  <c:v>Mustang</c:v>
                </c:pt>
                <c:pt idx="2">
                  <c:v>Escalade </c:v>
                </c:pt>
              </c:strCache>
            </c:strRef>
          </c:cat>
          <c:val>
            <c:numRef>
              <c:f>Cars!$C$28:$E$28</c:f>
              <c:numCache>
                <c:formatCode>General</c:formatCode>
                <c:ptCount val="3"/>
                <c:pt idx="0">
                  <c:v>7043.9999999999991</c:v>
                </c:pt>
                <c:pt idx="1">
                  <c:v>9509.1999999999989</c:v>
                </c:pt>
                <c:pt idx="2">
                  <c:v>11541.576470588236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316-41AC-AEC4-0DF129BC9C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5529711"/>
        <c:axId val="396431663"/>
      </c:barChart>
      <c:catAx>
        <c:axId val="3555297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Car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96431663"/>
        <c:crosses val="autoZero"/>
        <c:auto val="1"/>
        <c:lblAlgn val="ctr"/>
        <c:lblOffset val="100"/>
        <c:noMultiLvlLbl val="0"/>
      </c:catAx>
      <c:valAx>
        <c:axId val="396431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MY"/>
                  <a:t>Cost</a:t>
                </a:r>
                <a:r>
                  <a:rPr lang="en-MY" baseline="0"/>
                  <a:t> of the Car / Year ($)</a:t>
                </a:r>
                <a:endParaRPr lang="en-MY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55297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91507</xdr:colOff>
      <xdr:row>20</xdr:row>
      <xdr:rowOff>14288</xdr:rowOff>
    </xdr:from>
    <xdr:to>
      <xdr:col>8</xdr:col>
      <xdr:colOff>292212</xdr:colOff>
      <xdr:row>35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DC9BB40-D919-2924-E9CA-A29E6E9C01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428224</xdr:colOff>
      <xdr:row>19</xdr:row>
      <xdr:rowOff>168808</xdr:rowOff>
    </xdr:from>
    <xdr:to>
      <xdr:col>17</xdr:col>
      <xdr:colOff>56429</xdr:colOff>
      <xdr:row>35</xdr:row>
      <xdr:rowOff>43301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475AF4A-0141-A9F9-80E1-CAA464FF1C6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618664</xdr:colOff>
      <xdr:row>2</xdr:row>
      <xdr:rowOff>61953</xdr:rowOff>
    </xdr:from>
    <xdr:to>
      <xdr:col>11</xdr:col>
      <xdr:colOff>16788</xdr:colOff>
      <xdr:row>17</xdr:row>
      <xdr:rowOff>94929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96C3419-811C-086F-7BE1-B660258D8F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154966</xdr:colOff>
      <xdr:row>37</xdr:row>
      <xdr:rowOff>26842</xdr:rowOff>
    </xdr:from>
    <xdr:to>
      <xdr:col>3</xdr:col>
      <xdr:colOff>770565</xdr:colOff>
      <xdr:row>52</xdr:row>
      <xdr:rowOff>55421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857C64D-9F4C-A0C0-6AD3-BBE79419C3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71437</xdr:colOff>
      <xdr:row>37</xdr:row>
      <xdr:rowOff>23129</xdr:rowOff>
    </xdr:from>
    <xdr:to>
      <xdr:col>8</xdr:col>
      <xdr:colOff>588508</xdr:colOff>
      <xdr:row>52</xdr:row>
      <xdr:rowOff>10884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9B95FA0-E2F4-E34E-E8E2-5A4EFE4BC3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93989</xdr:colOff>
      <xdr:row>21</xdr:row>
      <xdr:rowOff>5603</xdr:rowOff>
    </xdr:from>
    <xdr:to>
      <xdr:col>4</xdr:col>
      <xdr:colOff>33617</xdr:colOff>
      <xdr:row>35</xdr:row>
      <xdr:rowOff>26894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783655-766D-32D0-0371-EF731E1620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801</xdr:colOff>
      <xdr:row>20</xdr:row>
      <xdr:rowOff>175612</xdr:rowOff>
    </xdr:from>
    <xdr:to>
      <xdr:col>10</xdr:col>
      <xdr:colOff>48824</xdr:colOff>
      <xdr:row>36</xdr:row>
      <xdr:rowOff>50107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BBD3A83-E4EB-C73F-9E3B-E189FD0734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100425</xdr:colOff>
      <xdr:row>29</xdr:row>
      <xdr:rowOff>7972</xdr:rowOff>
    </xdr:from>
    <xdr:to>
      <xdr:col>5</xdr:col>
      <xdr:colOff>236052</xdr:colOff>
      <xdr:row>44</xdr:row>
      <xdr:rowOff>33441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6B2F4F-CF13-7015-1001-0EA7252E97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396FC-53DD-46E9-BF6F-C0891059D33D}">
  <dimension ref="A2:N19"/>
  <sheetViews>
    <sheetView zoomScale="40" zoomScaleNormal="40" workbookViewId="0">
      <selection activeCell="P17" sqref="P17"/>
    </sheetView>
  </sheetViews>
  <sheetFormatPr defaultRowHeight="14.25" x14ac:dyDescent="0.45"/>
  <cols>
    <col min="1" max="1" width="15.86328125" bestFit="1" customWidth="1"/>
    <col min="2" max="2" width="7.86328125" bestFit="1" customWidth="1"/>
    <col min="3" max="3" width="9.19921875" bestFit="1" customWidth="1"/>
    <col min="4" max="4" width="12.46484375" bestFit="1" customWidth="1"/>
    <col min="6" max="6" width="5.53125" bestFit="1" customWidth="1"/>
    <col min="7" max="7" width="7.86328125" bestFit="1" customWidth="1"/>
    <col min="8" max="8" width="9.1328125" bestFit="1" customWidth="1"/>
    <col min="9" max="9" width="9.73046875" bestFit="1" customWidth="1"/>
    <col min="11" max="11" width="4.6640625" bestFit="1" customWidth="1"/>
    <col min="12" max="12" width="8.53125" bestFit="1" customWidth="1"/>
    <col min="13" max="13" width="9.46484375" bestFit="1" customWidth="1"/>
    <col min="14" max="14" width="10.1328125" bestFit="1" customWidth="1"/>
  </cols>
  <sheetData>
    <row r="2" spans="1:14" x14ac:dyDescent="0.45">
      <c r="B2" t="s">
        <v>0</v>
      </c>
      <c r="C2" t="s">
        <v>1</v>
      </c>
      <c r="D2" t="s">
        <v>2</v>
      </c>
      <c r="F2" t="s">
        <v>18</v>
      </c>
      <c r="G2" t="s">
        <v>0</v>
      </c>
      <c r="H2" t="s">
        <v>1</v>
      </c>
      <c r="I2" t="s">
        <v>2</v>
      </c>
      <c r="K2" t="s">
        <v>20</v>
      </c>
      <c r="L2" t="s">
        <v>0</v>
      </c>
      <c r="M2" t="s">
        <v>1</v>
      </c>
      <c r="N2" t="s">
        <v>2</v>
      </c>
    </row>
    <row r="3" spans="1:14" x14ac:dyDescent="0.45">
      <c r="A3" t="s">
        <v>3</v>
      </c>
      <c r="B3" s="1">
        <v>0.5</v>
      </c>
      <c r="C3" s="2">
        <v>0.4</v>
      </c>
      <c r="D3" s="2">
        <v>1.4</v>
      </c>
      <c r="F3" s="3">
        <v>3</v>
      </c>
      <c r="G3" s="1">
        <f>F3*B3</f>
        <v>1.5</v>
      </c>
      <c r="H3" s="1">
        <f>F3*C3</f>
        <v>1.2000000000000002</v>
      </c>
      <c r="I3" s="1">
        <f>F3*D3</f>
        <v>4.1999999999999993</v>
      </c>
      <c r="K3" s="3">
        <v>5</v>
      </c>
      <c r="L3" s="1">
        <f>K3*G3</f>
        <v>7.5</v>
      </c>
      <c r="M3" s="1">
        <f>K3*H3</f>
        <v>6.0000000000000009</v>
      </c>
      <c r="N3" s="1">
        <f>K3*I3</f>
        <v>20.999999999999996</v>
      </c>
    </row>
    <row r="4" spans="1:14" x14ac:dyDescent="0.45">
      <c r="A4" t="s">
        <v>4</v>
      </c>
      <c r="B4" s="1">
        <v>28</v>
      </c>
      <c r="C4" s="2">
        <v>33</v>
      </c>
      <c r="D4" s="2">
        <v>31</v>
      </c>
      <c r="F4" s="3">
        <v>1</v>
      </c>
      <c r="G4" s="1">
        <f>F4*B4</f>
        <v>28</v>
      </c>
      <c r="H4" s="1">
        <f t="shared" ref="H4:H17" si="0">F4*C4</f>
        <v>33</v>
      </c>
      <c r="I4" s="1">
        <f t="shared" ref="I4:I17" si="1">F4*D4</f>
        <v>31</v>
      </c>
      <c r="K4" s="3">
        <v>1</v>
      </c>
      <c r="L4" s="1">
        <f>K4*G4</f>
        <v>28</v>
      </c>
      <c r="M4" s="1">
        <f t="shared" ref="M4:M17" si="2">K4*H4</f>
        <v>33</v>
      </c>
      <c r="N4" s="1">
        <f t="shared" ref="N4:N17" si="3">K4*I4</f>
        <v>31</v>
      </c>
    </row>
    <row r="5" spans="1:14" x14ac:dyDescent="0.45">
      <c r="A5" t="s">
        <v>5</v>
      </c>
      <c r="B5" s="1">
        <v>1.8</v>
      </c>
      <c r="C5" s="2">
        <v>1</v>
      </c>
      <c r="D5" s="2">
        <v>2</v>
      </c>
      <c r="F5" s="3">
        <v>7</v>
      </c>
      <c r="G5" s="1">
        <f>F5*B5</f>
        <v>12.6</v>
      </c>
      <c r="H5" s="1">
        <f t="shared" si="0"/>
        <v>7</v>
      </c>
      <c r="I5" s="1">
        <f t="shared" si="1"/>
        <v>14</v>
      </c>
      <c r="K5" s="3">
        <v>4</v>
      </c>
      <c r="L5" s="1">
        <f>K5*G5</f>
        <v>50.4</v>
      </c>
      <c r="M5" s="1">
        <f t="shared" si="2"/>
        <v>28</v>
      </c>
      <c r="N5" s="1">
        <f t="shared" si="3"/>
        <v>56</v>
      </c>
    </row>
    <row r="6" spans="1:14" x14ac:dyDescent="0.45">
      <c r="A6" t="s">
        <v>6</v>
      </c>
      <c r="B6" s="1">
        <v>1.2</v>
      </c>
      <c r="C6" s="2">
        <v>0.8</v>
      </c>
      <c r="D6" s="2">
        <v>1.5</v>
      </c>
      <c r="F6" s="3">
        <v>1</v>
      </c>
      <c r="G6" s="1">
        <f>F6*B6</f>
        <v>1.2</v>
      </c>
      <c r="H6" s="1">
        <f t="shared" si="0"/>
        <v>0.8</v>
      </c>
      <c r="I6" s="1">
        <f t="shared" si="1"/>
        <v>1.5</v>
      </c>
      <c r="K6" s="3">
        <v>2</v>
      </c>
      <c r="L6" s="1">
        <f>K6*G6</f>
        <v>2.4</v>
      </c>
      <c r="M6" s="1">
        <f t="shared" si="2"/>
        <v>1.6</v>
      </c>
      <c r="N6" s="1">
        <f t="shared" si="3"/>
        <v>3</v>
      </c>
    </row>
    <row r="7" spans="1:14" x14ac:dyDescent="0.45">
      <c r="A7" t="s">
        <v>7</v>
      </c>
      <c r="B7" s="1">
        <v>2.4</v>
      </c>
      <c r="C7" s="2">
        <v>1.4</v>
      </c>
      <c r="D7" s="2">
        <v>2.4</v>
      </c>
      <c r="F7" s="3">
        <v>2</v>
      </c>
      <c r="G7" s="1">
        <f>F7*B7</f>
        <v>4.8</v>
      </c>
      <c r="H7" s="1">
        <f t="shared" si="0"/>
        <v>2.8</v>
      </c>
      <c r="I7" s="1">
        <f t="shared" si="1"/>
        <v>4.8</v>
      </c>
      <c r="K7" s="3">
        <v>2</v>
      </c>
      <c r="L7" s="1">
        <f>K7*G7</f>
        <v>9.6</v>
      </c>
      <c r="M7" s="1">
        <f t="shared" si="2"/>
        <v>5.6</v>
      </c>
      <c r="N7" s="1">
        <f t="shared" si="3"/>
        <v>9.6</v>
      </c>
    </row>
    <row r="8" spans="1:14" x14ac:dyDescent="0.45">
      <c r="A8" t="s">
        <v>8</v>
      </c>
      <c r="B8" s="1">
        <v>0.9</v>
      </c>
      <c r="C8" s="2">
        <v>0.2</v>
      </c>
      <c r="D8" s="2">
        <v>0.8</v>
      </c>
      <c r="F8" s="3">
        <v>2</v>
      </c>
      <c r="G8" s="1">
        <f t="shared" ref="G8:G17" si="4">F8*B8</f>
        <v>1.8</v>
      </c>
      <c r="H8" s="1">
        <f t="shared" si="0"/>
        <v>0.4</v>
      </c>
      <c r="I8" s="1">
        <f t="shared" si="1"/>
        <v>1.6</v>
      </c>
      <c r="K8" s="3">
        <v>2</v>
      </c>
      <c r="L8" s="1">
        <f t="shared" ref="L8" si="5">K8*G8</f>
        <v>3.6</v>
      </c>
      <c r="M8" s="1">
        <f t="shared" si="2"/>
        <v>0.8</v>
      </c>
      <c r="N8" s="1">
        <f t="shared" si="3"/>
        <v>3.2</v>
      </c>
    </row>
    <row r="9" spans="1:14" x14ac:dyDescent="0.45">
      <c r="A9" t="s">
        <v>9</v>
      </c>
      <c r="B9" s="1">
        <v>0.99</v>
      </c>
      <c r="C9" s="2">
        <v>0.59</v>
      </c>
      <c r="D9" s="2">
        <v>2.59</v>
      </c>
      <c r="F9" s="3">
        <v>1</v>
      </c>
      <c r="G9" s="1">
        <f>F9*B9</f>
        <v>0.99</v>
      </c>
      <c r="H9" s="1">
        <f t="shared" si="0"/>
        <v>0.59</v>
      </c>
      <c r="I9" s="1">
        <f t="shared" si="1"/>
        <v>2.59</v>
      </c>
      <c r="K9" s="3">
        <v>10</v>
      </c>
      <c r="L9" s="1">
        <f>K9*G9</f>
        <v>9.9</v>
      </c>
      <c r="M9" s="1">
        <f t="shared" si="2"/>
        <v>5.8999999999999995</v>
      </c>
      <c r="N9" s="1">
        <f t="shared" si="3"/>
        <v>25.9</v>
      </c>
    </row>
    <row r="10" spans="1:14" x14ac:dyDescent="0.45">
      <c r="A10" t="s">
        <v>10</v>
      </c>
      <c r="B10" s="1">
        <v>1.25</v>
      </c>
      <c r="C10" s="2">
        <v>3.25</v>
      </c>
      <c r="D10" s="2">
        <v>2.15</v>
      </c>
      <c r="F10" s="3">
        <v>4</v>
      </c>
      <c r="G10" s="1">
        <f t="shared" si="4"/>
        <v>5</v>
      </c>
      <c r="H10" s="1">
        <f>F10*C10</f>
        <v>13</v>
      </c>
      <c r="I10" s="1">
        <f t="shared" si="1"/>
        <v>8.6</v>
      </c>
      <c r="K10" s="3">
        <v>1</v>
      </c>
      <c r="L10" s="1">
        <f t="shared" ref="L10:L17" si="6">K10*G10</f>
        <v>5</v>
      </c>
      <c r="M10" s="1">
        <f>K10*H10</f>
        <v>13</v>
      </c>
      <c r="N10" s="1">
        <f t="shared" si="3"/>
        <v>8.6</v>
      </c>
    </row>
    <row r="11" spans="1:14" x14ac:dyDescent="0.45">
      <c r="A11" t="s">
        <v>11</v>
      </c>
      <c r="B11" s="1">
        <v>9.5</v>
      </c>
      <c r="C11" s="2">
        <v>14</v>
      </c>
      <c r="D11" s="2">
        <v>13</v>
      </c>
      <c r="F11" s="3">
        <v>1</v>
      </c>
      <c r="G11" s="1">
        <f t="shared" si="4"/>
        <v>9.5</v>
      </c>
      <c r="H11" s="1">
        <f>F11*C11</f>
        <v>14</v>
      </c>
      <c r="I11" s="1">
        <f t="shared" si="1"/>
        <v>13</v>
      </c>
      <c r="K11" s="3">
        <v>1</v>
      </c>
      <c r="L11" s="1">
        <f t="shared" si="6"/>
        <v>9.5</v>
      </c>
      <c r="M11" s="1">
        <f>K11*H11</f>
        <v>14</v>
      </c>
      <c r="N11" s="1">
        <f t="shared" si="3"/>
        <v>13</v>
      </c>
    </row>
    <row r="12" spans="1:14" x14ac:dyDescent="0.45">
      <c r="A12" t="s">
        <v>12</v>
      </c>
      <c r="B12" s="1">
        <v>4.55</v>
      </c>
      <c r="C12" s="2">
        <v>2.5499999999999998</v>
      </c>
      <c r="D12" s="2">
        <v>6</v>
      </c>
      <c r="F12" s="3">
        <v>1</v>
      </c>
      <c r="G12" s="1">
        <f t="shared" si="4"/>
        <v>4.55</v>
      </c>
      <c r="H12" s="1">
        <f t="shared" si="0"/>
        <v>2.5499999999999998</v>
      </c>
      <c r="I12" s="1">
        <f t="shared" si="1"/>
        <v>6</v>
      </c>
      <c r="K12" s="3">
        <v>1</v>
      </c>
      <c r="L12" s="1">
        <f t="shared" si="6"/>
        <v>4.55</v>
      </c>
      <c r="M12" s="1">
        <f t="shared" ref="M12:M17" si="7">K12*H12</f>
        <v>2.5499999999999998</v>
      </c>
      <c r="N12" s="1">
        <f t="shared" si="3"/>
        <v>6</v>
      </c>
    </row>
    <row r="13" spans="1:14" x14ac:dyDescent="0.45">
      <c r="A13" t="s">
        <v>13</v>
      </c>
      <c r="B13" s="1">
        <v>4.2</v>
      </c>
      <c r="C13" s="2">
        <v>2.2000000000000002</v>
      </c>
      <c r="D13" s="2">
        <v>3</v>
      </c>
      <c r="F13" s="3">
        <v>1</v>
      </c>
      <c r="G13" s="1">
        <f t="shared" si="4"/>
        <v>4.2</v>
      </c>
      <c r="H13" s="1">
        <f t="shared" si="0"/>
        <v>2.2000000000000002</v>
      </c>
      <c r="I13" s="1">
        <f t="shared" si="1"/>
        <v>3</v>
      </c>
      <c r="K13" s="3">
        <v>0</v>
      </c>
      <c r="L13" s="1">
        <f t="shared" si="6"/>
        <v>0</v>
      </c>
      <c r="M13" s="1">
        <f t="shared" si="7"/>
        <v>0</v>
      </c>
      <c r="N13" s="1">
        <f t="shared" si="3"/>
        <v>0</v>
      </c>
    </row>
    <row r="14" spans="1:14" x14ac:dyDescent="0.45">
      <c r="A14" t="s">
        <v>14</v>
      </c>
      <c r="B14" s="1">
        <v>3.9</v>
      </c>
      <c r="C14" s="2">
        <v>5</v>
      </c>
      <c r="D14" s="2">
        <v>8</v>
      </c>
      <c r="F14" s="3">
        <v>1</v>
      </c>
      <c r="G14" s="1">
        <f t="shared" si="4"/>
        <v>3.9</v>
      </c>
      <c r="H14" s="1">
        <f t="shared" si="0"/>
        <v>5</v>
      </c>
      <c r="I14" s="1">
        <f t="shared" si="1"/>
        <v>8</v>
      </c>
      <c r="K14" s="3">
        <v>0</v>
      </c>
      <c r="L14" s="1">
        <f t="shared" si="6"/>
        <v>0</v>
      </c>
      <c r="M14" s="1">
        <f t="shared" si="7"/>
        <v>0</v>
      </c>
      <c r="N14" s="1">
        <f t="shared" si="3"/>
        <v>0</v>
      </c>
    </row>
    <row r="15" spans="1:14" x14ac:dyDescent="0.45">
      <c r="A15" t="s">
        <v>15</v>
      </c>
      <c r="B15" s="1">
        <v>1</v>
      </c>
      <c r="C15" s="2">
        <v>2</v>
      </c>
      <c r="D15" s="2">
        <v>1</v>
      </c>
      <c r="F15" s="3">
        <v>1</v>
      </c>
      <c r="G15" s="1">
        <f t="shared" si="4"/>
        <v>1</v>
      </c>
      <c r="H15" s="1">
        <f t="shared" si="0"/>
        <v>2</v>
      </c>
      <c r="I15" s="1">
        <f t="shared" si="1"/>
        <v>1</v>
      </c>
      <c r="K15" s="3">
        <v>0</v>
      </c>
      <c r="L15" s="1">
        <f t="shared" si="6"/>
        <v>0</v>
      </c>
      <c r="M15" s="1">
        <f t="shared" si="7"/>
        <v>0</v>
      </c>
      <c r="N15" s="1">
        <f t="shared" si="3"/>
        <v>0</v>
      </c>
    </row>
    <row r="16" spans="1:14" x14ac:dyDescent="0.45">
      <c r="A16" t="s">
        <v>16</v>
      </c>
      <c r="B16" s="1">
        <v>1.75</v>
      </c>
      <c r="C16" s="2">
        <v>2</v>
      </c>
      <c r="D16" s="2">
        <v>1</v>
      </c>
      <c r="F16" s="3">
        <v>1</v>
      </c>
      <c r="G16" s="1">
        <f t="shared" si="4"/>
        <v>1.75</v>
      </c>
      <c r="H16" s="1">
        <f t="shared" si="0"/>
        <v>2</v>
      </c>
      <c r="I16" s="1">
        <f t="shared" si="1"/>
        <v>1</v>
      </c>
      <c r="K16" s="3">
        <v>0</v>
      </c>
      <c r="L16" s="1">
        <f t="shared" si="6"/>
        <v>0</v>
      </c>
      <c r="M16" s="1">
        <f t="shared" si="7"/>
        <v>0</v>
      </c>
      <c r="N16" s="1">
        <f t="shared" si="3"/>
        <v>0</v>
      </c>
    </row>
    <row r="17" spans="1:14" x14ac:dyDescent="0.45">
      <c r="A17" t="s">
        <v>17</v>
      </c>
      <c r="B17" s="1">
        <v>2</v>
      </c>
      <c r="C17" s="2">
        <v>1</v>
      </c>
      <c r="D17" s="2">
        <v>3</v>
      </c>
      <c r="F17" s="3">
        <v>1</v>
      </c>
      <c r="G17" s="1">
        <f t="shared" si="4"/>
        <v>2</v>
      </c>
      <c r="H17" s="1">
        <f t="shared" si="0"/>
        <v>1</v>
      </c>
      <c r="I17" s="1">
        <f t="shared" si="1"/>
        <v>3</v>
      </c>
      <c r="K17" s="3">
        <v>2</v>
      </c>
      <c r="L17" s="1">
        <f t="shared" si="6"/>
        <v>4</v>
      </c>
      <c r="M17" s="1">
        <f t="shared" si="7"/>
        <v>2</v>
      </c>
      <c r="N17" s="1">
        <f t="shared" si="3"/>
        <v>6</v>
      </c>
    </row>
    <row r="18" spans="1:14" x14ac:dyDescent="0.45">
      <c r="G18" t="s">
        <v>0</v>
      </c>
      <c r="H18" t="s">
        <v>1</v>
      </c>
      <c r="I18" t="s">
        <v>2</v>
      </c>
      <c r="L18" t="s">
        <v>0</v>
      </c>
      <c r="M18" t="s">
        <v>1</v>
      </c>
      <c r="N18" t="s">
        <v>2</v>
      </c>
    </row>
    <row r="19" spans="1:14" x14ac:dyDescent="0.45">
      <c r="F19" t="s">
        <v>19</v>
      </c>
      <c r="G19" s="1">
        <f>SUM(G3:G17)</f>
        <v>82.79</v>
      </c>
      <c r="H19" s="1">
        <f>SUM(H3:H17)</f>
        <v>87.539999999999992</v>
      </c>
      <c r="I19" s="1">
        <f>SUM(I3:I17)</f>
        <v>103.28999999999999</v>
      </c>
      <c r="K19" t="s">
        <v>19</v>
      </c>
      <c r="L19" s="1">
        <f>SUM(L3:L17)</f>
        <v>134.45000000000002</v>
      </c>
      <c r="M19" s="1">
        <f>SUM(M3:M17)</f>
        <v>112.44999999999999</v>
      </c>
      <c r="N19" s="1">
        <f>SUM(N3:N17)</f>
        <v>183.29999999999998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7C3A4-5E80-4E38-B083-A8DF1E098DE5}">
  <dimension ref="A2:C18"/>
  <sheetViews>
    <sheetView zoomScale="85" zoomScaleNormal="85" workbookViewId="0">
      <selection activeCell="I24" sqref="I24"/>
    </sheetView>
  </sheetViews>
  <sheetFormatPr defaultRowHeight="14.25" x14ac:dyDescent="0.45"/>
  <cols>
    <col min="1" max="1" width="12.53125" bestFit="1" customWidth="1"/>
    <col min="2" max="2" width="11" customWidth="1"/>
    <col min="3" max="3" width="8.9296875" customWidth="1"/>
  </cols>
  <sheetData>
    <row r="2" spans="1:3" x14ac:dyDescent="0.45">
      <c r="B2" t="s">
        <v>21</v>
      </c>
      <c r="C2" t="s">
        <v>22</v>
      </c>
    </row>
    <row r="3" spans="1:3" x14ac:dyDescent="0.45">
      <c r="A3" s="6" t="s">
        <v>23</v>
      </c>
      <c r="B3" s="4"/>
      <c r="C3" s="4"/>
    </row>
    <row r="4" spans="1:3" x14ac:dyDescent="0.45">
      <c r="A4" s="4" t="s">
        <v>24</v>
      </c>
      <c r="B4" s="8">
        <v>50</v>
      </c>
      <c r="C4" s="8">
        <v>90</v>
      </c>
    </row>
    <row r="5" spans="1:3" x14ac:dyDescent="0.45">
      <c r="A5" s="4" t="s">
        <v>25</v>
      </c>
      <c r="B5" s="8">
        <v>2.5</v>
      </c>
      <c r="C5" s="8">
        <v>2</v>
      </c>
    </row>
    <row r="6" spans="1:3" x14ac:dyDescent="0.45">
      <c r="A6" s="4" t="s">
        <v>26</v>
      </c>
      <c r="B6" s="8">
        <v>5.5</v>
      </c>
      <c r="C6" s="8">
        <v>4.5</v>
      </c>
    </row>
    <row r="7" spans="1:3" x14ac:dyDescent="0.45">
      <c r="A7" s="4" t="s">
        <v>27</v>
      </c>
      <c r="B7" s="8">
        <v>7</v>
      </c>
      <c r="C7" s="8">
        <v>7</v>
      </c>
    </row>
    <row r="8" spans="1:3" x14ac:dyDescent="0.45">
      <c r="A8" s="4" t="s">
        <v>28</v>
      </c>
      <c r="B8" s="8">
        <v>3</v>
      </c>
      <c r="C8" s="8">
        <v>0</v>
      </c>
    </row>
    <row r="9" spans="1:3" x14ac:dyDescent="0.45">
      <c r="A9" s="4" t="s">
        <v>29</v>
      </c>
      <c r="B9" s="8">
        <f>SUM(B4:B8)</f>
        <v>68</v>
      </c>
      <c r="C9" s="8">
        <f>SUM(C4:C8)</f>
        <v>103.5</v>
      </c>
    </row>
    <row r="11" spans="1:3" x14ac:dyDescent="0.45">
      <c r="A11" s="7" t="s">
        <v>30</v>
      </c>
      <c r="B11" s="5"/>
      <c r="C11" s="5"/>
    </row>
    <row r="12" spans="1:3" x14ac:dyDescent="0.45">
      <c r="A12" s="5" t="s">
        <v>31</v>
      </c>
      <c r="B12" s="9">
        <v>42</v>
      </c>
      <c r="C12" s="9">
        <v>22</v>
      </c>
    </row>
    <row r="13" spans="1:3" x14ac:dyDescent="0.45">
      <c r="A13" s="5" t="s">
        <v>32</v>
      </c>
      <c r="B13" s="9">
        <v>0</v>
      </c>
      <c r="C13" s="9">
        <v>16</v>
      </c>
    </row>
    <row r="14" spans="1:3" x14ac:dyDescent="0.45">
      <c r="A14" s="5" t="s">
        <v>33</v>
      </c>
      <c r="B14" s="9">
        <v>6</v>
      </c>
      <c r="C14" s="9">
        <v>0</v>
      </c>
    </row>
    <row r="15" spans="1:3" x14ac:dyDescent="0.45">
      <c r="A15" s="5" t="s">
        <v>34</v>
      </c>
      <c r="B15" s="9">
        <f>SUM(B12:B14)</f>
        <v>48</v>
      </c>
      <c r="C15" s="9">
        <f>SUM(C12:C14)</f>
        <v>38</v>
      </c>
    </row>
    <row r="16" spans="1:3" x14ac:dyDescent="0.45">
      <c r="A16" s="5" t="s">
        <v>35</v>
      </c>
      <c r="B16" s="9">
        <f>SUM(B12:B14)</f>
        <v>48</v>
      </c>
      <c r="C16" s="9">
        <f>SUM(C12:C14)</f>
        <v>38</v>
      </c>
    </row>
    <row r="17" spans="1:3" x14ac:dyDescent="0.45">
      <c r="B17" t="s">
        <v>21</v>
      </c>
      <c r="C17" t="s">
        <v>37</v>
      </c>
    </row>
    <row r="18" spans="1:3" x14ac:dyDescent="0.45">
      <c r="A18" s="5" t="s">
        <v>36</v>
      </c>
      <c r="B18" s="9">
        <f>(B16*12)+B9</f>
        <v>644</v>
      </c>
      <c r="C18" s="9">
        <f>(C16*12)+C9</f>
        <v>559.5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81A52-F3F2-4594-8D82-F0BAAA0A156B}">
  <dimension ref="A1:I36"/>
  <sheetViews>
    <sheetView topLeftCell="A5" zoomScale="55" zoomScaleNormal="55" workbookViewId="0">
      <selection activeCell="B24" sqref="B24"/>
    </sheetView>
  </sheetViews>
  <sheetFormatPr defaultRowHeight="14.25" x14ac:dyDescent="0.45"/>
  <cols>
    <col min="1" max="1" width="25.9296875" bestFit="1" customWidth="1"/>
    <col min="2" max="2" width="14.59765625" bestFit="1" customWidth="1"/>
    <col min="3" max="3" width="17" bestFit="1" customWidth="1"/>
    <col min="4" max="4" width="11.06640625" bestFit="1" customWidth="1"/>
    <col min="6" max="6" width="25.1328125" bestFit="1" customWidth="1"/>
    <col min="7" max="7" width="14.59765625" bestFit="1" customWidth="1"/>
    <col min="8" max="8" width="17" bestFit="1" customWidth="1"/>
    <col min="9" max="9" width="11.06640625" bestFit="1" customWidth="1"/>
    <col min="10" max="10" width="9.06640625" customWidth="1"/>
  </cols>
  <sheetData>
    <row r="1" spans="1:9" x14ac:dyDescent="0.45">
      <c r="A1" t="s">
        <v>18</v>
      </c>
      <c r="B1" t="s">
        <v>38</v>
      </c>
      <c r="C1" t="s">
        <v>39</v>
      </c>
      <c r="D1" t="s">
        <v>40</v>
      </c>
      <c r="F1" t="s">
        <v>20</v>
      </c>
      <c r="G1" t="s">
        <v>38</v>
      </c>
      <c r="H1" t="s">
        <v>39</v>
      </c>
      <c r="I1" t="s">
        <v>40</v>
      </c>
    </row>
    <row r="5" spans="1:9" x14ac:dyDescent="0.45">
      <c r="A5" s="7" t="s">
        <v>41</v>
      </c>
      <c r="B5" s="5"/>
      <c r="C5" s="5"/>
      <c r="D5" s="5"/>
      <c r="F5" s="7" t="s">
        <v>41</v>
      </c>
      <c r="G5" s="5"/>
      <c r="H5" s="5"/>
      <c r="I5" s="5"/>
    </row>
    <row r="6" spans="1:9" x14ac:dyDescent="0.45">
      <c r="A6" s="5" t="s">
        <v>42</v>
      </c>
      <c r="B6" s="13">
        <v>280</v>
      </c>
      <c r="C6" s="13">
        <v>100</v>
      </c>
      <c r="D6" s="13">
        <v>350</v>
      </c>
      <c r="F6" s="5" t="s">
        <v>42</v>
      </c>
      <c r="G6" s="13">
        <v>280</v>
      </c>
      <c r="H6" s="13">
        <v>100</v>
      </c>
      <c r="I6" s="13">
        <v>350</v>
      </c>
    </row>
    <row r="7" spans="1:9" x14ac:dyDescent="0.45">
      <c r="A7" s="5" t="s">
        <v>43</v>
      </c>
      <c r="B7" s="13">
        <v>18</v>
      </c>
      <c r="C7" s="13">
        <v>0</v>
      </c>
      <c r="D7" s="13">
        <v>0</v>
      </c>
      <c r="F7" s="5" t="s">
        <v>43</v>
      </c>
      <c r="G7" s="13">
        <v>18</v>
      </c>
      <c r="H7" s="13">
        <v>0</v>
      </c>
      <c r="I7" s="13">
        <v>0</v>
      </c>
    </row>
    <row r="8" spans="1:9" x14ac:dyDescent="0.45">
      <c r="A8" s="5" t="s">
        <v>44</v>
      </c>
      <c r="B8" s="13">
        <v>25</v>
      </c>
      <c r="C8" s="13">
        <v>0</v>
      </c>
      <c r="D8" s="13">
        <v>0</v>
      </c>
      <c r="F8" s="5" t="s">
        <v>44</v>
      </c>
      <c r="G8" s="13">
        <v>25</v>
      </c>
      <c r="H8" s="13">
        <v>0</v>
      </c>
      <c r="I8" s="13">
        <v>0</v>
      </c>
    </row>
    <row r="9" spans="1:9" x14ac:dyDescent="0.45">
      <c r="A9" s="5" t="s">
        <v>45</v>
      </c>
      <c r="B9" s="13">
        <v>15</v>
      </c>
      <c r="C9" s="13">
        <v>0</v>
      </c>
      <c r="D9" s="13">
        <v>0</v>
      </c>
      <c r="F9" s="5" t="s">
        <v>45</v>
      </c>
      <c r="G9" s="13">
        <v>15</v>
      </c>
      <c r="H9" s="13">
        <v>0</v>
      </c>
      <c r="I9" s="13">
        <v>0</v>
      </c>
    </row>
    <row r="10" spans="1:9" x14ac:dyDescent="0.45">
      <c r="A10" s="5" t="s">
        <v>46</v>
      </c>
      <c r="B10" s="13">
        <v>9</v>
      </c>
      <c r="C10" s="13">
        <v>0</v>
      </c>
      <c r="D10" s="13">
        <v>0</v>
      </c>
      <c r="F10" s="5" t="s">
        <v>46</v>
      </c>
      <c r="G10" s="13">
        <v>9</v>
      </c>
      <c r="H10" s="13">
        <v>0</v>
      </c>
      <c r="I10" s="13">
        <v>0</v>
      </c>
    </row>
    <row r="11" spans="1:9" x14ac:dyDescent="0.45">
      <c r="A11" s="5" t="s">
        <v>47</v>
      </c>
      <c r="B11" s="13">
        <v>0</v>
      </c>
      <c r="C11" s="13">
        <v>99</v>
      </c>
      <c r="D11" s="13">
        <v>0</v>
      </c>
      <c r="F11" s="5" t="s">
        <v>47</v>
      </c>
      <c r="G11" s="13">
        <v>0</v>
      </c>
      <c r="H11" s="13">
        <v>99</v>
      </c>
      <c r="I11" s="13">
        <v>0</v>
      </c>
    </row>
    <row r="12" spans="1:9" x14ac:dyDescent="0.45">
      <c r="A12" s="5" t="s">
        <v>48</v>
      </c>
      <c r="B12" s="13">
        <v>0</v>
      </c>
      <c r="C12" s="13">
        <v>95</v>
      </c>
      <c r="D12" s="13">
        <v>0</v>
      </c>
      <c r="F12" s="5" t="s">
        <v>48</v>
      </c>
      <c r="G12" s="13">
        <v>0</v>
      </c>
      <c r="H12" s="13">
        <v>95</v>
      </c>
      <c r="I12" s="13">
        <v>0</v>
      </c>
    </row>
    <row r="13" spans="1:9" x14ac:dyDescent="0.45">
      <c r="A13" s="5" t="s">
        <v>49</v>
      </c>
      <c r="B13" s="13">
        <v>0</v>
      </c>
      <c r="C13" s="13">
        <v>85</v>
      </c>
      <c r="D13" s="13">
        <v>0</v>
      </c>
      <c r="F13" s="5" t="s">
        <v>49</v>
      </c>
      <c r="G13" s="13">
        <v>0</v>
      </c>
      <c r="H13" s="13">
        <v>85</v>
      </c>
      <c r="I13" s="13">
        <v>0</v>
      </c>
    </row>
    <row r="14" spans="1:9" x14ac:dyDescent="0.45">
      <c r="A14" s="5" t="s">
        <v>50</v>
      </c>
      <c r="B14" s="13">
        <v>0</v>
      </c>
      <c r="C14" s="13">
        <v>85</v>
      </c>
      <c r="D14" s="13">
        <v>0</v>
      </c>
      <c r="F14" s="5" t="s">
        <v>50</v>
      </c>
      <c r="G14" s="13">
        <v>0</v>
      </c>
      <c r="H14" s="13">
        <v>85</v>
      </c>
      <c r="I14" s="13">
        <v>0</v>
      </c>
    </row>
    <row r="15" spans="1:9" x14ac:dyDescent="0.45">
      <c r="A15" s="5" t="s">
        <v>51</v>
      </c>
      <c r="B15" s="13">
        <v>0</v>
      </c>
      <c r="C15" s="13">
        <v>0</v>
      </c>
      <c r="D15" s="13">
        <v>555</v>
      </c>
      <c r="F15" s="5" t="s">
        <v>51</v>
      </c>
      <c r="G15" s="13">
        <v>0</v>
      </c>
      <c r="H15" s="13">
        <v>0</v>
      </c>
      <c r="I15" s="13">
        <v>555</v>
      </c>
    </row>
    <row r="17" spans="1:9" x14ac:dyDescent="0.45">
      <c r="A17" s="5" t="s">
        <v>52</v>
      </c>
      <c r="B17" s="9">
        <f>SUM(B6:B15)</f>
        <v>347</v>
      </c>
      <c r="C17" s="9">
        <f>SUM(C6:C15)</f>
        <v>464</v>
      </c>
      <c r="D17" s="9">
        <f>SUM(D6:D15)</f>
        <v>905</v>
      </c>
      <c r="F17" s="5" t="s">
        <v>52</v>
      </c>
      <c r="G17" s="9">
        <f>SUM(G6:G15)</f>
        <v>347</v>
      </c>
      <c r="H17" s="9">
        <f>SUM(H6:H15)</f>
        <v>464</v>
      </c>
      <c r="I17" s="9">
        <f>SUM(I6:I15)</f>
        <v>905</v>
      </c>
    </row>
    <row r="18" spans="1:9" x14ac:dyDescent="0.45">
      <c r="A18" s="5" t="s">
        <v>53</v>
      </c>
      <c r="B18" s="5">
        <v>2</v>
      </c>
      <c r="C18" s="5">
        <v>2</v>
      </c>
      <c r="D18" s="5">
        <v>2</v>
      </c>
      <c r="F18" s="5" t="s">
        <v>53</v>
      </c>
      <c r="G18" s="5">
        <v>4</v>
      </c>
      <c r="H18" s="5">
        <v>4</v>
      </c>
      <c r="I18" s="5">
        <v>4</v>
      </c>
    </row>
    <row r="19" spans="1:9" x14ac:dyDescent="0.45">
      <c r="A19" s="5" t="s">
        <v>54</v>
      </c>
      <c r="B19" s="9">
        <f>(B17*B18)</f>
        <v>694</v>
      </c>
      <c r="C19" s="9">
        <f t="shared" ref="C19:D19" si="0">(C17*C18)</f>
        <v>928</v>
      </c>
      <c r="D19" s="9">
        <f t="shared" si="0"/>
        <v>1810</v>
      </c>
      <c r="F19" s="5" t="s">
        <v>54</v>
      </c>
      <c r="G19" s="9">
        <f>(G17*G18)</f>
        <v>1388</v>
      </c>
      <c r="H19" s="9">
        <f t="shared" ref="H19" si="1">(H17*H18)</f>
        <v>1856</v>
      </c>
      <c r="I19" s="9">
        <f t="shared" ref="I19" si="2">(I17*I18)</f>
        <v>3620</v>
      </c>
    </row>
    <row r="21" spans="1:9" x14ac:dyDescent="0.45">
      <c r="A21" s="12" t="s">
        <v>55</v>
      </c>
      <c r="B21" s="11"/>
      <c r="C21" s="11"/>
      <c r="D21" s="11"/>
      <c r="F21" s="12" t="s">
        <v>55</v>
      </c>
      <c r="G21" s="11"/>
      <c r="H21" s="11"/>
      <c r="I21" s="11"/>
    </row>
    <row r="22" spans="1:9" x14ac:dyDescent="0.45">
      <c r="A22" s="11" t="s">
        <v>56</v>
      </c>
      <c r="B22" s="14">
        <v>120</v>
      </c>
      <c r="C22" s="14">
        <v>105</v>
      </c>
      <c r="D22" s="14">
        <v>0</v>
      </c>
      <c r="F22" s="11" t="s">
        <v>56</v>
      </c>
      <c r="G22" s="14">
        <v>120</v>
      </c>
      <c r="H22" s="14">
        <v>105</v>
      </c>
      <c r="I22" s="14">
        <v>0</v>
      </c>
    </row>
    <row r="23" spans="1:9" x14ac:dyDescent="0.45">
      <c r="A23" s="11" t="s">
        <v>57</v>
      </c>
      <c r="B23" s="14">
        <v>5</v>
      </c>
      <c r="C23" s="14">
        <v>5</v>
      </c>
      <c r="D23" s="14">
        <v>0</v>
      </c>
      <c r="F23" s="11" t="s">
        <v>57</v>
      </c>
      <c r="G23" s="17">
        <v>5</v>
      </c>
      <c r="H23" s="17">
        <v>5</v>
      </c>
      <c r="I23" s="17">
        <v>0</v>
      </c>
    </row>
    <row r="24" spans="1:9" x14ac:dyDescent="0.45">
      <c r="A24" s="11" t="s">
        <v>58</v>
      </c>
      <c r="B24" s="14">
        <f>B22*B23</f>
        <v>600</v>
      </c>
      <c r="C24" s="14">
        <f>(C22*C23)</f>
        <v>525</v>
      </c>
      <c r="D24" s="14">
        <v>0</v>
      </c>
      <c r="F24" s="11" t="s">
        <v>58</v>
      </c>
      <c r="G24" s="14">
        <f>G22*G23</f>
        <v>600</v>
      </c>
      <c r="H24" s="14">
        <f>(H22*H23)</f>
        <v>525</v>
      </c>
      <c r="I24" s="14">
        <v>0</v>
      </c>
    </row>
    <row r="26" spans="1:9" x14ac:dyDescent="0.45">
      <c r="A26" s="12" t="s">
        <v>59</v>
      </c>
      <c r="B26" s="11"/>
      <c r="C26" s="11"/>
      <c r="D26" s="11"/>
      <c r="F26" s="12" t="s">
        <v>59</v>
      </c>
      <c r="G26" s="11"/>
      <c r="H26" s="11"/>
      <c r="I26" s="11"/>
    </row>
    <row r="27" spans="1:9" x14ac:dyDescent="0.45">
      <c r="A27" s="11" t="s">
        <v>60</v>
      </c>
      <c r="B27" s="16">
        <v>40</v>
      </c>
      <c r="C27" s="16">
        <v>0</v>
      </c>
      <c r="D27" s="16">
        <v>0</v>
      </c>
      <c r="F27" s="11" t="s">
        <v>60</v>
      </c>
      <c r="G27" s="16">
        <v>40</v>
      </c>
      <c r="H27" s="16">
        <v>0</v>
      </c>
      <c r="I27" s="16">
        <v>0</v>
      </c>
    </row>
    <row r="28" spans="1:9" x14ac:dyDescent="0.45">
      <c r="A28" s="11" t="s">
        <v>61</v>
      </c>
      <c r="B28" s="11">
        <v>4</v>
      </c>
      <c r="C28" s="11">
        <v>4</v>
      </c>
      <c r="D28" s="11">
        <v>4</v>
      </c>
      <c r="F28" s="11" t="s">
        <v>61</v>
      </c>
      <c r="G28" s="11">
        <v>4</v>
      </c>
      <c r="H28" s="11">
        <v>4</v>
      </c>
      <c r="I28" s="11">
        <v>4</v>
      </c>
    </row>
    <row r="29" spans="1:9" x14ac:dyDescent="0.45">
      <c r="A29" s="11" t="s">
        <v>64</v>
      </c>
      <c r="B29" s="14">
        <f>(B27*B28)</f>
        <v>160</v>
      </c>
      <c r="C29" s="14">
        <f t="shared" ref="C29:D29" si="3">(C27*C28)</f>
        <v>0</v>
      </c>
      <c r="D29" s="14">
        <f t="shared" si="3"/>
        <v>0</v>
      </c>
      <c r="F29" s="11" t="s">
        <v>64</v>
      </c>
      <c r="G29" s="14">
        <f>(G27*G28)</f>
        <v>160</v>
      </c>
      <c r="H29" s="14">
        <f t="shared" ref="H29" si="4">(H27*H28)</f>
        <v>0</v>
      </c>
      <c r="I29" s="14">
        <f t="shared" ref="I29" si="5">(I27*I28)</f>
        <v>0</v>
      </c>
    </row>
    <row r="30" spans="1:9" x14ac:dyDescent="0.45">
      <c r="B30" s="15"/>
      <c r="C30" s="15"/>
      <c r="D30" s="15"/>
      <c r="G30" s="15"/>
      <c r="H30" s="15"/>
      <c r="I30" s="15"/>
    </row>
    <row r="31" spans="1:9" x14ac:dyDescent="0.45">
      <c r="A31" s="12" t="s">
        <v>62</v>
      </c>
      <c r="B31" s="11"/>
      <c r="C31" s="11"/>
      <c r="D31" s="11"/>
      <c r="F31" s="12" t="s">
        <v>62</v>
      </c>
      <c r="G31" s="11"/>
      <c r="H31" s="11"/>
      <c r="I31" s="11"/>
    </row>
    <row r="32" spans="1:9" x14ac:dyDescent="0.45">
      <c r="A32" s="11" t="s">
        <v>63</v>
      </c>
      <c r="B32" s="14">
        <v>50</v>
      </c>
      <c r="C32" s="14">
        <v>50</v>
      </c>
      <c r="D32" s="14">
        <v>0</v>
      </c>
      <c r="F32" s="11" t="s">
        <v>63</v>
      </c>
      <c r="G32" s="14">
        <v>50</v>
      </c>
      <c r="H32" s="14">
        <v>50</v>
      </c>
      <c r="I32" s="14">
        <v>0</v>
      </c>
    </row>
    <row r="33" spans="1:9" x14ac:dyDescent="0.45">
      <c r="A33" s="11" t="s">
        <v>61</v>
      </c>
      <c r="B33" s="11">
        <v>4</v>
      </c>
      <c r="C33" s="11">
        <v>4</v>
      </c>
      <c r="D33" s="11">
        <v>4</v>
      </c>
      <c r="F33" s="11" t="s">
        <v>61</v>
      </c>
      <c r="G33" s="11">
        <v>4</v>
      </c>
      <c r="H33" s="11">
        <v>4</v>
      </c>
      <c r="I33" s="11">
        <v>4</v>
      </c>
    </row>
    <row r="34" spans="1:9" x14ac:dyDescent="0.45">
      <c r="A34" s="11" t="s">
        <v>65</v>
      </c>
      <c r="B34" s="14">
        <f>(B32*B33)</f>
        <v>200</v>
      </c>
      <c r="C34" s="14">
        <f t="shared" ref="C34:D34" si="6">(C32*C33)</f>
        <v>200</v>
      </c>
      <c r="D34" s="14">
        <f t="shared" si="6"/>
        <v>0</v>
      </c>
      <c r="F34" s="11" t="s">
        <v>65</v>
      </c>
      <c r="G34" s="14">
        <f>(G32*G33)</f>
        <v>200</v>
      </c>
      <c r="H34" s="14">
        <f t="shared" ref="H34" si="7">(H32*H33)</f>
        <v>200</v>
      </c>
      <c r="I34" s="14">
        <f t="shared" ref="I34" si="8">(I32*I33)</f>
        <v>0</v>
      </c>
    </row>
    <row r="36" spans="1:9" x14ac:dyDescent="0.45">
      <c r="A36" s="4" t="s">
        <v>66</v>
      </c>
      <c r="B36" s="8">
        <f>B19+B24+B29+B34</f>
        <v>1654</v>
      </c>
      <c r="C36" s="8">
        <f>C19+C24+C29+C34</f>
        <v>1653</v>
      </c>
      <c r="D36" s="8">
        <f t="shared" ref="C36:D36" si="9">D19+D24+D29+D34</f>
        <v>1810</v>
      </c>
      <c r="F36" s="4" t="s">
        <v>67</v>
      </c>
      <c r="G36" s="8">
        <f>G19+G24+G29+G34</f>
        <v>2348</v>
      </c>
      <c r="H36" s="8">
        <f>H19+H24+H29+H34</f>
        <v>2581</v>
      </c>
      <c r="I36" s="8">
        <f t="shared" ref="I36" si="10">I19+I24+I29+I34</f>
        <v>3620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9D392-21FA-4B17-B890-C067D2733001}">
  <dimension ref="A1:I19"/>
  <sheetViews>
    <sheetView zoomScale="55" zoomScaleNormal="55" workbookViewId="0">
      <selection activeCell="A5" sqref="A5"/>
    </sheetView>
  </sheetViews>
  <sheetFormatPr defaultRowHeight="14.25" x14ac:dyDescent="0.45"/>
  <cols>
    <col min="1" max="1" width="21" bestFit="1" customWidth="1"/>
    <col min="2" max="2" width="10.1328125" bestFit="1" customWidth="1"/>
    <col min="3" max="4" width="8.53125" bestFit="1" customWidth="1"/>
    <col min="6" max="6" width="21" bestFit="1" customWidth="1"/>
    <col min="7" max="7" width="12" customWidth="1"/>
    <col min="8" max="8" width="11.1328125" bestFit="1" customWidth="1"/>
    <col min="9" max="9" width="10.1328125" bestFit="1" customWidth="1"/>
  </cols>
  <sheetData>
    <row r="1" spans="1:9" x14ac:dyDescent="0.45">
      <c r="A1" t="s">
        <v>18</v>
      </c>
      <c r="B1" t="s">
        <v>68</v>
      </c>
      <c r="C1" t="s">
        <v>69</v>
      </c>
      <c r="D1" t="s">
        <v>70</v>
      </c>
      <c r="F1" t="s">
        <v>20</v>
      </c>
      <c r="G1" t="s">
        <v>68</v>
      </c>
      <c r="H1" t="s">
        <v>69</v>
      </c>
      <c r="I1" t="s">
        <v>70</v>
      </c>
    </row>
    <row r="2" spans="1:9" x14ac:dyDescent="0.45">
      <c r="A2" s="18" t="s">
        <v>71</v>
      </c>
      <c r="B2" s="22">
        <v>29</v>
      </c>
      <c r="C2" s="22">
        <v>149</v>
      </c>
      <c r="D2" s="22">
        <v>549</v>
      </c>
      <c r="F2" s="18" t="s">
        <v>71</v>
      </c>
      <c r="G2" s="22">
        <v>29</v>
      </c>
      <c r="H2" s="22">
        <v>149</v>
      </c>
      <c r="I2" s="22">
        <v>549</v>
      </c>
    </row>
    <row r="3" spans="1:9" x14ac:dyDescent="0.45">
      <c r="C3" s="27" t="s">
        <v>84</v>
      </c>
      <c r="H3" s="27" t="s">
        <v>84</v>
      </c>
    </row>
    <row r="4" spans="1:9" x14ac:dyDescent="0.45">
      <c r="A4" s="19" t="s">
        <v>72</v>
      </c>
      <c r="B4" s="23">
        <v>40</v>
      </c>
      <c r="C4" s="23">
        <v>90</v>
      </c>
      <c r="D4" s="23">
        <v>370</v>
      </c>
      <c r="F4" s="19" t="s">
        <v>72</v>
      </c>
      <c r="G4" s="23">
        <v>40</v>
      </c>
      <c r="H4" s="23">
        <v>90</v>
      </c>
      <c r="I4" s="23">
        <v>370</v>
      </c>
    </row>
    <row r="5" spans="1:9" x14ac:dyDescent="0.45">
      <c r="A5" s="19" t="s">
        <v>73</v>
      </c>
      <c r="B5" s="19">
        <v>200</v>
      </c>
      <c r="C5" s="19">
        <v>1000</v>
      </c>
      <c r="D5" s="19">
        <v>11000</v>
      </c>
      <c r="F5" s="19" t="s">
        <v>73</v>
      </c>
      <c r="G5" s="19">
        <v>200</v>
      </c>
      <c r="H5" s="19">
        <v>1000</v>
      </c>
      <c r="I5" s="19">
        <v>11000</v>
      </c>
    </row>
    <row r="6" spans="1:9" x14ac:dyDescent="0.45">
      <c r="A6" s="19" t="s">
        <v>74</v>
      </c>
      <c r="B6" s="23">
        <f>B4/200</f>
        <v>0.2</v>
      </c>
      <c r="C6" s="23">
        <f>C4/C5</f>
        <v>0.09</v>
      </c>
      <c r="D6" s="23">
        <f>D4/D5</f>
        <v>3.3636363636363638E-2</v>
      </c>
      <c r="F6" s="19" t="s">
        <v>74</v>
      </c>
      <c r="G6" s="23">
        <f>G4/200</f>
        <v>0.2</v>
      </c>
      <c r="H6" s="23">
        <f>H4/H5</f>
        <v>0.09</v>
      </c>
      <c r="I6" s="23">
        <f>I4/I5</f>
        <v>3.3636363636363638E-2</v>
      </c>
    </row>
    <row r="8" spans="1:9" x14ac:dyDescent="0.45">
      <c r="A8" s="4" t="s">
        <v>75</v>
      </c>
      <c r="B8" s="4">
        <v>15</v>
      </c>
      <c r="F8" s="4" t="s">
        <v>75</v>
      </c>
      <c r="G8" s="4">
        <v>500</v>
      </c>
    </row>
    <row r="9" spans="1:9" x14ac:dyDescent="0.45">
      <c r="A9" s="4" t="s">
        <v>76</v>
      </c>
      <c r="B9" s="4">
        <v>5</v>
      </c>
      <c r="F9" s="4" t="s">
        <v>76</v>
      </c>
      <c r="G9" s="4">
        <v>5</v>
      </c>
    </row>
    <row r="10" spans="1:9" x14ac:dyDescent="0.45">
      <c r="A10" s="4" t="s">
        <v>77</v>
      </c>
      <c r="B10" s="4">
        <v>50</v>
      </c>
      <c r="F10" s="4" t="s">
        <v>77</v>
      </c>
      <c r="G10" s="4">
        <v>50</v>
      </c>
    </row>
    <row r="11" spans="1:9" x14ac:dyDescent="0.45">
      <c r="A11" s="4" t="s">
        <v>78</v>
      </c>
      <c r="B11" s="4">
        <f>B10*B9*B8</f>
        <v>3750</v>
      </c>
      <c r="F11" s="4" t="s">
        <v>78</v>
      </c>
      <c r="G11" s="4">
        <f>G10*G9*G8</f>
        <v>125000</v>
      </c>
    </row>
    <row r="13" spans="1:9" x14ac:dyDescent="0.45">
      <c r="A13" s="10" t="s">
        <v>79</v>
      </c>
      <c r="B13" s="10">
        <v>3750</v>
      </c>
      <c r="C13" s="10">
        <v>3750</v>
      </c>
      <c r="D13" s="10">
        <v>3750</v>
      </c>
      <c r="F13" s="10" t="s">
        <v>79</v>
      </c>
      <c r="G13" s="10">
        <v>125000</v>
      </c>
      <c r="H13" s="10">
        <v>125000</v>
      </c>
      <c r="I13" s="10">
        <v>125000</v>
      </c>
    </row>
    <row r="14" spans="1:9" x14ac:dyDescent="0.45">
      <c r="A14" s="10" t="s">
        <v>80</v>
      </c>
      <c r="B14" s="24">
        <f>B6*B11</f>
        <v>750</v>
      </c>
      <c r="C14" s="24">
        <f>B11*C6</f>
        <v>337.5</v>
      </c>
      <c r="D14" s="24">
        <f>B11*D6</f>
        <v>126.13636363636364</v>
      </c>
      <c r="F14" s="10" t="s">
        <v>80</v>
      </c>
      <c r="G14" s="24">
        <f>G6*G11</f>
        <v>25000</v>
      </c>
      <c r="H14" s="24">
        <f>G11*H6</f>
        <v>11250</v>
      </c>
      <c r="I14" s="24">
        <f>G11*I6</f>
        <v>4204.545454545455</v>
      </c>
    </row>
    <row r="15" spans="1:9" x14ac:dyDescent="0.45">
      <c r="A15" s="10" t="s">
        <v>81</v>
      </c>
      <c r="B15" s="10">
        <v>2</v>
      </c>
      <c r="C15" s="10">
        <v>2</v>
      </c>
      <c r="D15" s="10">
        <v>2</v>
      </c>
      <c r="F15" s="10" t="s">
        <v>81</v>
      </c>
      <c r="G15" s="10">
        <v>2</v>
      </c>
      <c r="H15" s="10">
        <v>2</v>
      </c>
      <c r="I15" s="10">
        <v>2</v>
      </c>
    </row>
    <row r="17" spans="1:9" x14ac:dyDescent="0.45">
      <c r="A17" s="20" t="s">
        <v>82</v>
      </c>
      <c r="B17" s="25">
        <f>B14*B15</f>
        <v>1500</v>
      </c>
      <c r="C17" s="25">
        <f>C14*C15</f>
        <v>675</v>
      </c>
      <c r="D17" s="25">
        <f>D14*D15</f>
        <v>252.27272727272728</v>
      </c>
      <c r="F17" s="20" t="s">
        <v>82</v>
      </c>
      <c r="G17" s="25">
        <f>G14*G15</f>
        <v>50000</v>
      </c>
      <c r="H17" s="25">
        <f>H14*H15</f>
        <v>22500</v>
      </c>
      <c r="I17" s="25">
        <f>I14*I15</f>
        <v>8409.0909090909099</v>
      </c>
    </row>
    <row r="18" spans="1:9" x14ac:dyDescent="0.45">
      <c r="B18" s="21" t="s">
        <v>68</v>
      </c>
      <c r="C18" s="21" t="s">
        <v>69</v>
      </c>
      <c r="D18" s="21" t="s">
        <v>70</v>
      </c>
      <c r="G18" s="21" t="s">
        <v>68</v>
      </c>
      <c r="H18" s="21" t="s">
        <v>69</v>
      </c>
      <c r="I18" s="21" t="s">
        <v>70</v>
      </c>
    </row>
    <row r="19" spans="1:9" x14ac:dyDescent="0.45">
      <c r="A19" s="21" t="s">
        <v>83</v>
      </c>
      <c r="B19" s="26">
        <f>B17+B2</f>
        <v>1529</v>
      </c>
      <c r="C19" s="26">
        <f>C17+C2</f>
        <v>824</v>
      </c>
      <c r="D19" s="26">
        <f>D17+D2</f>
        <v>801.27272727272725</v>
      </c>
      <c r="F19" s="21" t="s">
        <v>83</v>
      </c>
      <c r="G19" s="26">
        <f>G17+G2</f>
        <v>50029</v>
      </c>
      <c r="H19" s="26">
        <f>H17+H2</f>
        <v>22649</v>
      </c>
      <c r="I19" s="26">
        <f>I17+I2</f>
        <v>8958.0909090909099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EA854-BCD6-46CD-B0EC-0E73D74CA7EC}">
  <dimension ref="A1:E28"/>
  <sheetViews>
    <sheetView tabSelected="1" topLeftCell="A7" zoomScale="92" zoomScaleNormal="70" workbookViewId="0">
      <selection activeCell="G35" sqref="G35"/>
    </sheetView>
  </sheetViews>
  <sheetFormatPr defaultRowHeight="14.25" x14ac:dyDescent="0.45"/>
  <cols>
    <col min="1" max="1" width="28" bestFit="1" customWidth="1"/>
    <col min="3" max="3" width="9.53125" customWidth="1"/>
    <col min="4" max="4" width="7.3984375" bestFit="1" customWidth="1"/>
    <col min="5" max="5" width="8.1328125" bestFit="1" customWidth="1"/>
  </cols>
  <sheetData>
    <row r="1" spans="1:5" x14ac:dyDescent="0.45">
      <c r="A1" t="s">
        <v>18</v>
      </c>
      <c r="C1" t="s">
        <v>107</v>
      </c>
      <c r="D1" t="s">
        <v>105</v>
      </c>
      <c r="E1" t="s">
        <v>108</v>
      </c>
    </row>
    <row r="2" spans="1:5" x14ac:dyDescent="0.45">
      <c r="A2" s="19" t="s">
        <v>85</v>
      </c>
      <c r="B2" s="19"/>
      <c r="C2" s="19">
        <f>C4+C3</f>
        <v>15950</v>
      </c>
      <c r="D2" s="19">
        <f>D4+D3</f>
        <v>34100</v>
      </c>
      <c r="E2" s="19">
        <f>E4+E3</f>
        <v>79200</v>
      </c>
    </row>
    <row r="3" spans="1:5" x14ac:dyDescent="0.45">
      <c r="A3" s="19" t="s">
        <v>86</v>
      </c>
      <c r="B3" s="19"/>
      <c r="C3" s="19">
        <v>14500</v>
      </c>
      <c r="D3" s="19">
        <v>31000</v>
      </c>
      <c r="E3" s="19">
        <v>72000</v>
      </c>
    </row>
    <row r="4" spans="1:5" x14ac:dyDescent="0.45">
      <c r="A4" s="19" t="s">
        <v>87</v>
      </c>
      <c r="B4" s="19"/>
      <c r="C4" s="19">
        <v>1450</v>
      </c>
      <c r="D4" s="19">
        <v>3100</v>
      </c>
      <c r="E4" s="19">
        <v>7200</v>
      </c>
    </row>
    <row r="6" spans="1:5" x14ac:dyDescent="0.45">
      <c r="A6" s="29" t="s">
        <v>88</v>
      </c>
      <c r="B6" s="28"/>
      <c r="C6" s="28"/>
      <c r="D6" s="28"/>
      <c r="E6" s="28"/>
    </row>
    <row r="7" spans="1:5" x14ac:dyDescent="0.45">
      <c r="A7" s="28" t="s">
        <v>89</v>
      </c>
      <c r="B7" s="28"/>
      <c r="C7" s="28">
        <v>1500</v>
      </c>
      <c r="D7" s="28">
        <v>2500</v>
      </c>
      <c r="E7" s="28">
        <v>3100</v>
      </c>
    </row>
    <row r="8" spans="1:5" x14ac:dyDescent="0.45">
      <c r="A8" s="28" t="s">
        <v>90</v>
      </c>
      <c r="B8" s="28"/>
      <c r="C8" s="28">
        <v>210</v>
      </c>
      <c r="D8" s="28">
        <v>300</v>
      </c>
      <c r="E8" s="28">
        <v>450</v>
      </c>
    </row>
    <row r="9" spans="1:5" x14ac:dyDescent="0.45">
      <c r="A9" s="28" t="s">
        <v>91</v>
      </c>
      <c r="B9" s="28"/>
      <c r="C9" s="28"/>
      <c r="D9" s="28"/>
      <c r="E9" s="28"/>
    </row>
    <row r="12" spans="1:5" x14ac:dyDescent="0.45">
      <c r="A12" s="30" t="s">
        <v>92</v>
      </c>
      <c r="B12" s="21"/>
      <c r="C12" s="21"/>
      <c r="D12" s="21"/>
      <c r="E12" s="21"/>
    </row>
    <row r="13" spans="1:5" x14ac:dyDescent="0.45">
      <c r="A13" s="21" t="s">
        <v>93</v>
      </c>
      <c r="B13" s="21"/>
      <c r="C13" s="21">
        <v>30000</v>
      </c>
      <c r="D13" s="21">
        <v>30000</v>
      </c>
      <c r="E13" s="21">
        <v>30000</v>
      </c>
    </row>
    <row r="14" spans="1:5" x14ac:dyDescent="0.45">
      <c r="A14" s="21" t="s">
        <v>94</v>
      </c>
      <c r="B14" s="21"/>
      <c r="C14" s="21">
        <v>35</v>
      </c>
      <c r="D14" s="21">
        <v>19</v>
      </c>
      <c r="E14" s="21">
        <v>17</v>
      </c>
    </row>
    <row r="15" spans="1:5" x14ac:dyDescent="0.45">
      <c r="A15" s="21" t="s">
        <v>95</v>
      </c>
      <c r="B15" s="21"/>
      <c r="C15" s="21">
        <v>3.99</v>
      </c>
      <c r="D15" s="21">
        <v>3.99</v>
      </c>
      <c r="E15" s="21">
        <v>3.99</v>
      </c>
    </row>
    <row r="16" spans="1:5" x14ac:dyDescent="0.45">
      <c r="A16" s="21" t="s">
        <v>96</v>
      </c>
      <c r="B16" s="21"/>
      <c r="C16" s="21">
        <f>(C13/C14) *C15</f>
        <v>3420</v>
      </c>
      <c r="D16" s="21">
        <f t="shared" ref="D16:E16" si="0">(D13/D14) *D15</f>
        <v>6300.0000000000009</v>
      </c>
      <c r="E16" s="21">
        <f t="shared" si="0"/>
        <v>7041.176470588236</v>
      </c>
    </row>
    <row r="18" spans="1:5" x14ac:dyDescent="0.45">
      <c r="A18" s="31" t="s">
        <v>97</v>
      </c>
      <c r="B18" s="31"/>
      <c r="C18" s="31">
        <f>C7+C8+C16</f>
        <v>5130</v>
      </c>
      <c r="D18" s="31">
        <f t="shared" ref="D18:E18" si="1">D7+D8+D16</f>
        <v>9100</v>
      </c>
      <c r="E18" s="31">
        <f t="shared" si="1"/>
        <v>10591.176470588236</v>
      </c>
    </row>
    <row r="20" spans="1:5" x14ac:dyDescent="0.45">
      <c r="A20" s="18" t="s">
        <v>98</v>
      </c>
      <c r="B20" s="18"/>
      <c r="C20" s="18">
        <v>30000</v>
      </c>
      <c r="D20" s="18">
        <v>3000</v>
      </c>
      <c r="E20" s="18">
        <v>3000</v>
      </c>
    </row>
    <row r="21" spans="1:5" x14ac:dyDescent="0.45">
      <c r="A21" s="18" t="s">
        <v>99</v>
      </c>
      <c r="B21" s="18"/>
      <c r="C21" s="18">
        <v>250000</v>
      </c>
      <c r="D21" s="18">
        <v>250000</v>
      </c>
      <c r="E21" s="18">
        <v>250000</v>
      </c>
    </row>
    <row r="22" spans="1:5" x14ac:dyDescent="0.45">
      <c r="A22" s="18" t="s">
        <v>100</v>
      </c>
      <c r="B22" s="18"/>
      <c r="C22" s="18">
        <f>C21/C20</f>
        <v>8.3333333333333339</v>
      </c>
      <c r="D22" s="18">
        <f t="shared" ref="D22:E22" si="2">D21/D20</f>
        <v>83.333333333333329</v>
      </c>
      <c r="E22" s="18">
        <f t="shared" si="2"/>
        <v>83.333333333333329</v>
      </c>
    </row>
    <row r="24" spans="1:5" x14ac:dyDescent="0.45">
      <c r="A24" s="18" t="s">
        <v>101</v>
      </c>
      <c r="B24" s="18"/>
      <c r="C24" s="18">
        <f>C18*C22</f>
        <v>42750</v>
      </c>
      <c r="D24" s="18">
        <f t="shared" ref="D24:E24" si="3">D18*D22</f>
        <v>758333.33333333326</v>
      </c>
      <c r="E24" s="18">
        <f t="shared" si="3"/>
        <v>882598.03921568627</v>
      </c>
    </row>
    <row r="26" spans="1:5" x14ac:dyDescent="0.45">
      <c r="A26" s="18" t="s">
        <v>102</v>
      </c>
      <c r="B26" s="18"/>
      <c r="C26" s="18">
        <f>C2+(C24)</f>
        <v>58700</v>
      </c>
      <c r="D26" s="18">
        <f t="shared" ref="D26:E26" si="4">D2+(D24)</f>
        <v>792433.33333333326</v>
      </c>
      <c r="E26" s="18">
        <f t="shared" si="4"/>
        <v>961798.03921568627</v>
      </c>
    </row>
    <row r="27" spans="1:5" x14ac:dyDescent="0.45">
      <c r="A27" s="18"/>
      <c r="B27" s="18"/>
      <c r="C27" s="18" t="s">
        <v>104</v>
      </c>
      <c r="D27" s="18" t="s">
        <v>105</v>
      </c>
      <c r="E27" s="18" t="s">
        <v>106</v>
      </c>
    </row>
    <row r="28" spans="1:5" x14ac:dyDescent="0.45">
      <c r="A28" s="18" t="s">
        <v>103</v>
      </c>
      <c r="B28" s="18"/>
      <c r="C28" s="18">
        <f>C26/C22</f>
        <v>7043.9999999999991</v>
      </c>
      <c r="D28" s="18">
        <f t="shared" ref="D28:E28" si="5">D26/D22</f>
        <v>9509.1999999999989</v>
      </c>
      <c r="E28" s="18">
        <f t="shared" si="5"/>
        <v>11541.576470588236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Shopping</vt:lpstr>
      <vt:lpstr>Cat or Dog</vt:lpstr>
      <vt:lpstr>Vacation</vt:lpstr>
      <vt:lpstr>Printers</vt:lpstr>
      <vt:lpstr>Cars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Hayden Chew</dc:creator>
  <cp:lastModifiedBy>Hayden Chew</cp:lastModifiedBy>
  <dcterms:created xsi:type="dcterms:W3CDTF">2026-03-19T10:04:43Z</dcterms:created>
  <dcterms:modified xsi:type="dcterms:W3CDTF">2026-03-19T14:13:39Z</dcterms:modified>
</cp:coreProperties>
</file>